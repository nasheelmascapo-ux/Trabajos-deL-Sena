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13_ncr:1_{3AD95C18-8564-4E71-A9D9-3873AC56DE2C}" xr6:coauthVersionLast="36" xr6:coauthVersionMax="36" xr10:uidLastSave="{00000000-0000-0000-0000-000000000000}"/>
  <bookViews>
    <workbookView xWindow="0" yWindow="0" windowWidth="28800" windowHeight="12225" xr2:uid="{DC34D73D-CB75-4A58-9749-E3C43B7458A4}"/>
  </bookViews>
  <sheets>
    <sheet name="Promedio (.Si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8" i="1" l="1"/>
  <c r="H48" i="1"/>
  <c r="G48" i="1"/>
  <c r="G39" i="1"/>
  <c r="F39" i="1"/>
  <c r="F35" i="1"/>
  <c r="G40" i="1"/>
  <c r="H40" i="1" s="1"/>
  <c r="G41" i="1"/>
  <c r="H41" i="1" s="1"/>
  <c r="G42" i="1"/>
  <c r="H42" i="1" s="1"/>
  <c r="H39" i="1"/>
  <c r="H43" i="1" s="1"/>
  <c r="F40" i="1"/>
  <c r="F41" i="1"/>
  <c r="F42" i="1"/>
  <c r="H35" i="1"/>
  <c r="E40" i="1"/>
  <c r="E41" i="1"/>
  <c r="E42" i="1"/>
  <c r="E39" i="1"/>
  <c r="G35" i="1"/>
  <c r="J26" i="1"/>
  <c r="L14" i="1"/>
  <c r="J20" i="1"/>
  <c r="L20" i="1" s="1"/>
  <c r="F8" i="1"/>
  <c r="G8" i="1"/>
  <c r="H8" i="1"/>
  <c r="I8" i="1"/>
  <c r="E8" i="1"/>
  <c r="K26" i="1" l="1"/>
  <c r="L26" i="1" s="1"/>
  <c r="J14" i="1"/>
  <c r="J8" i="1"/>
  <c r="K8" i="1" l="1"/>
  <c r="L8" i="1" s="1"/>
</calcChain>
</file>

<file path=xl/sharedStrings.xml><?xml version="1.0" encoding="utf-8"?>
<sst xmlns="http://schemas.openxmlformats.org/spreadsheetml/2006/main" count="68" uniqueCount="45">
  <si>
    <t>Promedio</t>
  </si>
  <si>
    <t>enero</t>
  </si>
  <si>
    <t>febrero</t>
  </si>
  <si>
    <t>marzo</t>
  </si>
  <si>
    <t>abril</t>
  </si>
  <si>
    <t>mayo</t>
  </si>
  <si>
    <t>Gastos mensuales</t>
  </si>
  <si>
    <t>% de Gastos</t>
  </si>
  <si>
    <t>Maximo</t>
  </si>
  <si>
    <t>lunes</t>
  </si>
  <si>
    <t>martes</t>
  </si>
  <si>
    <t>miércoles</t>
  </si>
  <si>
    <t>jueves</t>
  </si>
  <si>
    <t>viernes</t>
  </si>
  <si>
    <t>Meta</t>
  </si>
  <si>
    <t>Ventas Diarias</t>
  </si>
  <si>
    <t>% de Meta</t>
  </si>
  <si>
    <t>Ventas Semanales</t>
  </si>
  <si>
    <t>Semana 1</t>
  </si>
  <si>
    <t>Semana 2</t>
  </si>
  <si>
    <t>Semana 3</t>
  </si>
  <si>
    <t>Semana 4</t>
  </si>
  <si>
    <t>Semana 5</t>
  </si>
  <si>
    <t>Ventas (No se dio el analisis)</t>
  </si>
  <si>
    <t>Unidad</t>
  </si>
  <si>
    <t>Ingresos Anuales</t>
  </si>
  <si>
    <t>Peso de Importancia</t>
  </si>
  <si>
    <t>porcentajes</t>
  </si>
  <si>
    <t>A</t>
  </si>
  <si>
    <t>B</t>
  </si>
  <si>
    <t>C</t>
  </si>
  <si>
    <t>D</t>
  </si>
  <si>
    <t>Ponderado</t>
  </si>
  <si>
    <t>Utilidad</t>
  </si>
  <si>
    <t>Utilidad +10%</t>
  </si>
  <si>
    <t>Ingresos anuales +10%</t>
  </si>
  <si>
    <t>Genero</t>
  </si>
  <si>
    <t>Edad</t>
  </si>
  <si>
    <t>Pr. Masculino</t>
  </si>
  <si>
    <t>Pr. Femenino</t>
  </si>
  <si>
    <t>Femenino</t>
  </si>
  <si>
    <t>Masculino</t>
  </si>
  <si>
    <t>finanzas</t>
  </si>
  <si>
    <t>ventas</t>
  </si>
  <si>
    <t>produccion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</si>
</sst>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166" fontId="0" fillId="0" borderId="1" xfId="1" applyNumberFormat="1" applyFont="1" applyBorder="1"/>
    <xf numFmtId="166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1" xfId="0" applyNumberFormat="1" applyBorder="1"/>
    <xf numFmtId="166" fontId="0" fillId="2" borderId="1" xfId="0" applyNumberFormat="1" applyFill="1" applyBorder="1"/>
    <xf numFmtId="9" fontId="0" fillId="0" borderId="1" xfId="2" applyFont="1" applyBorder="1"/>
    <xf numFmtId="167" fontId="0" fillId="0" borderId="1" xfId="0" applyNumberFormat="1" applyBorder="1"/>
    <xf numFmtId="167" fontId="0" fillId="0" borderId="1" xfId="0" applyNumberFormat="1" applyBorder="1" applyAlignment="1"/>
    <xf numFmtId="9" fontId="0" fillId="2" borderId="1" xfId="0" applyNumberFormat="1" applyFill="1" applyBorder="1"/>
    <xf numFmtId="166" fontId="0" fillId="4" borderId="1" xfId="0" applyNumberFormat="1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EC45-FAC2-4429-974F-A6FD4A1E8585}">
  <dimension ref="E5:L57"/>
  <sheetViews>
    <sheetView tabSelected="1" topLeftCell="A40" workbookViewId="0">
      <selection activeCell="L57" sqref="L57"/>
    </sheetView>
  </sheetViews>
  <sheetFormatPr baseColWidth="10" defaultRowHeight="15" x14ac:dyDescent="0.25"/>
  <cols>
    <col min="5" max="5" width="17.28515625" bestFit="1" customWidth="1"/>
    <col min="6" max="6" width="16.7109375" bestFit="1" customWidth="1"/>
    <col min="7" max="7" width="14" bestFit="1" customWidth="1"/>
    <col min="8" max="8" width="20.85546875" bestFit="1" customWidth="1"/>
    <col min="9" max="9" width="10.42578125" bestFit="1" customWidth="1"/>
    <col min="10" max="11" width="12" bestFit="1" customWidth="1"/>
    <col min="12" max="12" width="11.5703125" bestFit="1" customWidth="1"/>
  </cols>
  <sheetData>
    <row r="5" spans="5:12" x14ac:dyDescent="0.25">
      <c r="E5" s="5" t="s">
        <v>6</v>
      </c>
      <c r="F5" s="5"/>
      <c r="G5" s="5"/>
      <c r="H5" s="5"/>
      <c r="I5" s="5"/>
      <c r="J5" s="5"/>
      <c r="K5" s="5"/>
      <c r="L5" s="5"/>
    </row>
    <row r="6" spans="5:12" x14ac:dyDescent="0.25">
      <c r="E6" s="5"/>
      <c r="F6" s="5"/>
      <c r="G6" s="5"/>
      <c r="H6" s="5"/>
      <c r="I6" s="5"/>
      <c r="J6" s="5"/>
      <c r="K6" s="5"/>
      <c r="L6" s="5"/>
    </row>
    <row r="7" spans="5:12" x14ac:dyDescent="0.25">
      <c r="E7" s="6" t="s">
        <v>1</v>
      </c>
      <c r="F7" s="6" t="s">
        <v>2</v>
      </c>
      <c r="G7" s="6" t="s">
        <v>3</v>
      </c>
      <c r="H7" s="6" t="s">
        <v>4</v>
      </c>
      <c r="I7" s="6" t="s">
        <v>5</v>
      </c>
      <c r="J7" s="6" t="s">
        <v>0</v>
      </c>
      <c r="K7" s="2" t="s">
        <v>8</v>
      </c>
      <c r="L7" s="6" t="s">
        <v>7</v>
      </c>
    </row>
    <row r="8" spans="5:12" x14ac:dyDescent="0.25">
      <c r="E8" s="7">
        <f ca="1">RANDBETWEEN(300000,900000)</f>
        <v>787573</v>
      </c>
      <c r="F8" s="7">
        <f t="shared" ref="F8:I8" ca="1" si="0">RANDBETWEEN(300000,900000)</f>
        <v>558939</v>
      </c>
      <c r="G8" s="7">
        <f t="shared" ca="1" si="0"/>
        <v>420253</v>
      </c>
      <c r="H8" s="7">
        <f t="shared" ca="1" si="0"/>
        <v>663062</v>
      </c>
      <c r="I8" s="7">
        <f t="shared" ca="1" si="0"/>
        <v>697060</v>
      </c>
      <c r="J8" s="7">
        <f ca="1">AVERAGE(E8:I8)</f>
        <v>625377.4</v>
      </c>
      <c r="K8" s="4">
        <f ca="1">MAX(E8:J8)</f>
        <v>787573</v>
      </c>
      <c r="L8" s="8">
        <f ca="1">(J8*100%)/K8</f>
        <v>0.79405642397593623</v>
      </c>
    </row>
    <row r="11" spans="5:12" x14ac:dyDescent="0.25">
      <c r="E11" s="5" t="s">
        <v>15</v>
      </c>
      <c r="F11" s="5"/>
      <c r="G11" s="5"/>
      <c r="H11" s="5"/>
      <c r="I11" s="5"/>
      <c r="J11" s="5"/>
      <c r="K11" s="5"/>
      <c r="L11" s="5"/>
    </row>
    <row r="12" spans="5:12" x14ac:dyDescent="0.25">
      <c r="E12" s="5"/>
      <c r="F12" s="5"/>
      <c r="G12" s="5"/>
      <c r="H12" s="5"/>
      <c r="I12" s="5"/>
      <c r="J12" s="5"/>
      <c r="K12" s="5"/>
      <c r="L12" s="5"/>
    </row>
    <row r="13" spans="5:12" x14ac:dyDescent="0.25">
      <c r="E13" s="6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6" t="s">
        <v>0</v>
      </c>
      <c r="K13" s="2" t="s">
        <v>14</v>
      </c>
      <c r="L13" s="6" t="s">
        <v>16</v>
      </c>
    </row>
    <row r="14" spans="5:12" x14ac:dyDescent="0.25">
      <c r="E14" s="7">
        <v>180000</v>
      </c>
      <c r="F14" s="7">
        <v>220000</v>
      </c>
      <c r="G14" s="7">
        <v>200000</v>
      </c>
      <c r="H14" s="7">
        <v>240000</v>
      </c>
      <c r="I14" s="7">
        <v>260000</v>
      </c>
      <c r="J14" s="7">
        <f>AVERAGE(E14:I14)</f>
        <v>220000</v>
      </c>
      <c r="K14" s="4">
        <v>300000</v>
      </c>
      <c r="L14" s="8">
        <f>(J14*100%)/K14</f>
        <v>0.73333333333333328</v>
      </c>
    </row>
    <row r="17" spans="5:12" x14ac:dyDescent="0.25">
      <c r="E17" s="5" t="s">
        <v>17</v>
      </c>
      <c r="F17" s="5"/>
      <c r="G17" s="5"/>
      <c r="H17" s="5"/>
      <c r="I17" s="5"/>
      <c r="J17" s="5"/>
      <c r="K17" s="5"/>
      <c r="L17" s="5"/>
    </row>
    <row r="18" spans="5:12" x14ac:dyDescent="0.25">
      <c r="E18" s="5"/>
      <c r="F18" s="5"/>
      <c r="G18" s="5"/>
      <c r="H18" s="5"/>
      <c r="I18" s="5"/>
      <c r="J18" s="5"/>
      <c r="K18" s="5"/>
      <c r="L18" s="5"/>
    </row>
    <row r="19" spans="5:12" x14ac:dyDescent="0.25">
      <c r="E19" s="6" t="s">
        <v>18</v>
      </c>
      <c r="F19" s="6" t="s">
        <v>19</v>
      </c>
      <c r="G19" s="6" t="s">
        <v>20</v>
      </c>
      <c r="H19" s="6" t="s">
        <v>21</v>
      </c>
      <c r="I19" s="6" t="s">
        <v>22</v>
      </c>
      <c r="J19" s="6" t="s">
        <v>0</v>
      </c>
      <c r="K19" s="2" t="s">
        <v>14</v>
      </c>
      <c r="L19" s="6" t="s">
        <v>16</v>
      </c>
    </row>
    <row r="20" spans="5:12" x14ac:dyDescent="0.25">
      <c r="E20" s="7">
        <v>700000</v>
      </c>
      <c r="F20" s="7">
        <v>750000</v>
      </c>
      <c r="G20" s="7">
        <v>800000</v>
      </c>
      <c r="H20" s="7">
        <v>650000</v>
      </c>
      <c r="I20" s="7">
        <v>900000</v>
      </c>
      <c r="J20" s="7">
        <f>AVERAGE(E20:I20)</f>
        <v>760000</v>
      </c>
      <c r="K20" s="4">
        <v>1000000</v>
      </c>
      <c r="L20" s="8">
        <f>(J20*100%)/K20</f>
        <v>0.76</v>
      </c>
    </row>
    <row r="23" spans="5:12" x14ac:dyDescent="0.25">
      <c r="E23" s="5" t="s">
        <v>23</v>
      </c>
      <c r="F23" s="5"/>
      <c r="G23" s="5"/>
      <c r="H23" s="5"/>
      <c r="I23" s="5"/>
      <c r="J23" s="5"/>
      <c r="K23" s="5"/>
      <c r="L23" s="5"/>
    </row>
    <row r="24" spans="5:12" x14ac:dyDescent="0.25">
      <c r="E24" s="5"/>
      <c r="F24" s="5"/>
      <c r="G24" s="5"/>
      <c r="H24" s="5"/>
      <c r="I24" s="5"/>
      <c r="J24" s="5"/>
      <c r="K24" s="5"/>
      <c r="L24" s="5"/>
    </row>
    <row r="25" spans="5:12" x14ac:dyDescent="0.25">
      <c r="E25" s="6" t="s">
        <v>1</v>
      </c>
      <c r="F25" s="6" t="s">
        <v>2</v>
      </c>
      <c r="G25" s="6" t="s">
        <v>3</v>
      </c>
      <c r="H25" s="6" t="s">
        <v>4</v>
      </c>
      <c r="I25" s="6" t="s">
        <v>5</v>
      </c>
      <c r="J25" s="6" t="s">
        <v>0</v>
      </c>
      <c r="K25" s="2" t="s">
        <v>8</v>
      </c>
      <c r="L25" s="6" t="s">
        <v>7</v>
      </c>
    </row>
    <row r="26" spans="5:12" x14ac:dyDescent="0.25">
      <c r="E26" s="7">
        <v>2800000</v>
      </c>
      <c r="F26" s="7">
        <v>3200000</v>
      </c>
      <c r="G26" s="7">
        <v>3600000</v>
      </c>
      <c r="H26" s="7">
        <v>3100000</v>
      </c>
      <c r="I26" s="7">
        <v>3900</v>
      </c>
      <c r="J26" s="7">
        <f>AVERAGE(E26:I26)</f>
        <v>2540780</v>
      </c>
      <c r="K26" s="4">
        <f>MAX(E26:J26)</f>
        <v>3600000</v>
      </c>
      <c r="L26" s="8">
        <f>(J26*100%)/K26</f>
        <v>0.70577222222222225</v>
      </c>
    </row>
    <row r="30" spans="5:12" x14ac:dyDescent="0.25">
      <c r="E30" s="2" t="s">
        <v>24</v>
      </c>
      <c r="F30" s="2" t="s">
        <v>25</v>
      </c>
      <c r="G30" s="2" t="s">
        <v>27</v>
      </c>
      <c r="H30" s="2" t="s">
        <v>26</v>
      </c>
    </row>
    <row r="31" spans="5:12" x14ac:dyDescent="0.25">
      <c r="E31" s="2" t="s">
        <v>28</v>
      </c>
      <c r="F31" s="3">
        <v>850000</v>
      </c>
      <c r="G31" s="9">
        <v>0.18</v>
      </c>
      <c r="H31" s="9">
        <v>0.35</v>
      </c>
    </row>
    <row r="32" spans="5:12" x14ac:dyDescent="0.25">
      <c r="E32" s="2" t="s">
        <v>29</v>
      </c>
      <c r="F32" s="3">
        <v>1200000</v>
      </c>
      <c r="G32" s="9">
        <v>0.12</v>
      </c>
      <c r="H32" s="9">
        <v>0.3</v>
      </c>
    </row>
    <row r="33" spans="5:12" x14ac:dyDescent="0.25">
      <c r="E33" s="2" t="s">
        <v>30</v>
      </c>
      <c r="F33" s="3">
        <v>650000</v>
      </c>
      <c r="G33" s="9">
        <v>0.25</v>
      </c>
      <c r="H33" s="9">
        <v>0.2</v>
      </c>
    </row>
    <row r="34" spans="5:12" x14ac:dyDescent="0.25">
      <c r="E34" s="2" t="s">
        <v>31</v>
      </c>
      <c r="F34" s="3">
        <v>900000</v>
      </c>
      <c r="G34" s="9">
        <v>0.15</v>
      </c>
      <c r="H34" s="9">
        <v>0.15</v>
      </c>
    </row>
    <row r="35" spans="5:12" x14ac:dyDescent="0.25">
      <c r="F35" s="4">
        <f>SUM(F31:F34)</f>
        <v>3600000</v>
      </c>
      <c r="G35" s="12">
        <f>AVERAGE(G31:G34)</f>
        <v>0.17500000000000002</v>
      </c>
      <c r="H35" s="13">
        <f>AVERAGE(H31:H34)</f>
        <v>0.24999999999999997</v>
      </c>
    </row>
    <row r="38" spans="5:12" x14ac:dyDescent="0.25">
      <c r="E38" s="10" t="s">
        <v>32</v>
      </c>
      <c r="F38" s="14" t="s">
        <v>33</v>
      </c>
      <c r="G38" s="10" t="s">
        <v>34</v>
      </c>
      <c r="H38" s="2" t="s">
        <v>35</v>
      </c>
    </row>
    <row r="39" spans="5:12" x14ac:dyDescent="0.25">
      <c r="E39" s="11">
        <f>G31*H31</f>
        <v>6.3E-2</v>
      </c>
      <c r="F39" s="3">
        <f>F31*G31</f>
        <v>153000</v>
      </c>
      <c r="G39" s="4">
        <f>F39+(F39*10%)</f>
        <v>168300</v>
      </c>
      <c r="H39" s="15">
        <f>G39/G31</f>
        <v>935000</v>
      </c>
    </row>
    <row r="40" spans="5:12" x14ac:dyDescent="0.25">
      <c r="E40" s="11">
        <f>G32*H32</f>
        <v>3.5999999999999997E-2</v>
      </c>
      <c r="F40" s="3">
        <f>F32*G32</f>
        <v>144000</v>
      </c>
      <c r="G40" s="4">
        <f>F40+(F40*10%)</f>
        <v>158400</v>
      </c>
      <c r="H40" s="15">
        <f>G40/G32</f>
        <v>1320000</v>
      </c>
    </row>
    <row r="41" spans="5:12" x14ac:dyDescent="0.25">
      <c r="E41" s="11">
        <f>G33*H33</f>
        <v>0.05</v>
      </c>
      <c r="F41" s="3">
        <f>F33*G33</f>
        <v>162500</v>
      </c>
      <c r="G41" s="4">
        <f>F41+(F41*10%)</f>
        <v>178750</v>
      </c>
      <c r="H41" s="15">
        <f>G41/G33</f>
        <v>715000</v>
      </c>
    </row>
    <row r="42" spans="5:12" x14ac:dyDescent="0.25">
      <c r="E42" s="11">
        <f>G34*H34</f>
        <v>2.2499999999999999E-2</v>
      </c>
      <c r="F42" s="3">
        <f>F34*G34</f>
        <v>135000</v>
      </c>
      <c r="G42" s="4">
        <f>F42+(F42*10%)</f>
        <v>148500</v>
      </c>
      <c r="H42" s="15">
        <f>G42/G34</f>
        <v>990000</v>
      </c>
    </row>
    <row r="43" spans="5:12" x14ac:dyDescent="0.25">
      <c r="H43" s="4">
        <f>SUM(H39:H42)</f>
        <v>3960000</v>
      </c>
    </row>
    <row r="47" spans="5:12" x14ac:dyDescent="0.25">
      <c r="E47" s="2" t="s">
        <v>37</v>
      </c>
      <c r="F47" s="2" t="s">
        <v>36</v>
      </c>
      <c r="G47" s="2" t="s">
        <v>39</v>
      </c>
      <c r="H47" s="2" t="s">
        <v>38</v>
      </c>
      <c r="J47" s="2" t="s">
        <v>42</v>
      </c>
      <c r="K47" s="1">
        <v>1000000</v>
      </c>
      <c r="L47" s="2" t="s">
        <v>42</v>
      </c>
    </row>
    <row r="48" spans="5:12" x14ac:dyDescent="0.25">
      <c r="E48" s="1">
        <v>26</v>
      </c>
      <c r="F48" s="1" t="s">
        <v>40</v>
      </c>
      <c r="G48" s="1">
        <f>AVERAGEIF(F48:F57,F48,E48:E57)</f>
        <v>27.166666666666668</v>
      </c>
      <c r="H48" s="1">
        <f>AVERAGEIF(F48:F57,F49,E48:E57)</f>
        <v>33.5</v>
      </c>
      <c r="J48" s="2" t="s">
        <v>43</v>
      </c>
      <c r="K48" s="1">
        <v>800000</v>
      </c>
      <c r="L48" s="3">
        <f>AVERAGEIF(J47:J51,J47,K47:K51)</f>
        <v>966666.66666666663</v>
      </c>
    </row>
    <row r="49" spans="5:11" x14ac:dyDescent="0.25">
      <c r="E49" s="1">
        <v>22</v>
      </c>
      <c r="F49" s="1" t="s">
        <v>41</v>
      </c>
      <c r="J49" s="2" t="s">
        <v>42</v>
      </c>
      <c r="K49" s="1">
        <v>1200000</v>
      </c>
    </row>
    <row r="50" spans="5:11" x14ac:dyDescent="0.25">
      <c r="E50" s="1">
        <v>25</v>
      </c>
      <c r="F50" s="1" t="s">
        <v>40</v>
      </c>
      <c r="J50" s="2" t="s">
        <v>44</v>
      </c>
      <c r="K50" s="1">
        <v>900000</v>
      </c>
    </row>
    <row r="51" spans="5:11" x14ac:dyDescent="0.25">
      <c r="E51" s="1">
        <v>28</v>
      </c>
      <c r="F51" s="1" t="s">
        <v>40</v>
      </c>
      <c r="J51" s="2" t="s">
        <v>42</v>
      </c>
      <c r="K51" s="1">
        <v>700000</v>
      </c>
    </row>
    <row r="52" spans="5:11" x14ac:dyDescent="0.25">
      <c r="E52" s="1">
        <v>40</v>
      </c>
      <c r="F52" s="1" t="s">
        <v>41</v>
      </c>
    </row>
    <row r="53" spans="5:11" x14ac:dyDescent="0.25">
      <c r="E53" s="1">
        <v>33</v>
      </c>
      <c r="F53" s="1" t="s">
        <v>40</v>
      </c>
    </row>
    <row r="54" spans="5:11" x14ac:dyDescent="0.25">
      <c r="E54" s="1">
        <v>27</v>
      </c>
      <c r="F54" s="1" t="s">
        <v>41</v>
      </c>
    </row>
    <row r="55" spans="5:11" x14ac:dyDescent="0.25">
      <c r="E55" s="1">
        <v>21</v>
      </c>
      <c r="F55" s="1" t="s">
        <v>40</v>
      </c>
    </row>
    <row r="56" spans="5:11" x14ac:dyDescent="0.25">
      <c r="E56" s="1">
        <v>45</v>
      </c>
      <c r="F56" s="1" t="s">
        <v>41</v>
      </c>
    </row>
    <row r="57" spans="5:11" x14ac:dyDescent="0.25">
      <c r="E57" s="1">
        <v>30</v>
      </c>
      <c r="F57" s="1" t="s">
        <v>40</v>
      </c>
    </row>
  </sheetData>
  <mergeCells count="4">
    <mergeCell ref="E23:L24"/>
    <mergeCell ref="E5:L6"/>
    <mergeCell ref="E11:L12"/>
    <mergeCell ref="E17:L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Promedio (.Si)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2026-08-05T23:09:52Z</dcterms:created>
  <dcterms:modified xsi:type="dcterms:W3CDTF">2026-08-06T02:25:57Z</dcterms:modified>
</cp:coreProperties>
</file>