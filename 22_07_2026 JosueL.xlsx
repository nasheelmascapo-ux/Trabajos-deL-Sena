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Documents\System 32\"/>
    </mc:Choice>
  </mc:AlternateContent>
  <xr:revisionPtr revIDLastSave="0" documentId="13_ncr:1_{1886E315-2F11-4C1A-987A-79A25F95B591}" xr6:coauthVersionLast="36" xr6:coauthVersionMax="36" xr10:uidLastSave="{00000000-0000-0000-0000-000000000000}"/>
  <bookViews>
    <workbookView xWindow="0" yWindow="0" windowWidth="28800" windowHeight="12225" activeTab="3" xr2:uid="{19B7EB7A-352B-4A95-80BF-D1BED7BD4E5A}"/>
  </bookViews>
  <sheets>
    <sheet name="Practica Si 5 Ejercicios" sheetId="1" r:id="rId1"/>
    <sheet name="SI anidado" sheetId="2" r:id="rId2"/>
    <sheet name="Buscar V" sheetId="3" r:id="rId3"/>
    <sheet name="Desprendible de Nomina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5" l="1"/>
  <c r="H12" i="5"/>
  <c r="J10" i="5"/>
  <c r="J9" i="5"/>
  <c r="J8" i="5"/>
  <c r="J7" i="5"/>
  <c r="J6" i="5"/>
  <c r="J11" i="5"/>
  <c r="H14" i="5" l="1"/>
  <c r="G17" i="5" s="1"/>
  <c r="G19" i="5" s="1"/>
  <c r="G21" i="5" s="1"/>
  <c r="J17" i="5" s="1"/>
  <c r="J19" i="5" s="1"/>
  <c r="J25" i="5" s="1"/>
  <c r="J26" i="5" s="1"/>
  <c r="M4" i="3"/>
  <c r="Q5" i="3"/>
  <c r="Q6" i="3"/>
  <c r="P16" i="3" s="1"/>
  <c r="Q4" i="3"/>
  <c r="Q3" i="3"/>
  <c r="M7" i="3"/>
  <c r="M6" i="3"/>
  <c r="M5" i="3"/>
  <c r="T4" i="3"/>
  <c r="M12" i="3" l="1"/>
  <c r="Q7" i="3"/>
  <c r="P8" i="2"/>
  <c r="Q8" i="2" s="1"/>
  <c r="P9" i="2"/>
  <c r="Q9" i="2" s="1"/>
  <c r="P10" i="2"/>
  <c r="Q10" i="2" s="1"/>
  <c r="P11" i="2"/>
  <c r="Q11" i="2" s="1"/>
  <c r="P12" i="2"/>
  <c r="Q12" i="2" s="1"/>
  <c r="P13" i="2"/>
  <c r="Q13" i="2" s="1"/>
  <c r="P14" i="2"/>
  <c r="Q14" i="2" s="1"/>
  <c r="P15" i="2"/>
  <c r="Q15" i="2" s="1"/>
  <c r="P16" i="2"/>
  <c r="Q16" i="2" s="1"/>
  <c r="P17" i="2"/>
  <c r="Q17" i="2" s="1"/>
  <c r="P18" i="2"/>
  <c r="Q18" i="2" s="1"/>
  <c r="P19" i="2"/>
  <c r="Q19" i="2" s="1"/>
  <c r="P20" i="2"/>
  <c r="Q20" i="2" s="1"/>
  <c r="P21" i="2"/>
  <c r="Q21" i="2" s="1"/>
  <c r="P22" i="2"/>
  <c r="Q22" i="2" s="1"/>
  <c r="P23" i="2"/>
  <c r="Q23" i="2" s="1"/>
  <c r="P24" i="2"/>
  <c r="Q24" i="2" s="1"/>
  <c r="P25" i="2"/>
  <c r="Q25" i="2" s="1"/>
  <c r="P26" i="2"/>
  <c r="Q26" i="2" s="1"/>
  <c r="P27" i="2"/>
  <c r="Q27" i="2" s="1"/>
  <c r="P28" i="2"/>
  <c r="Q28" i="2" s="1"/>
  <c r="P29" i="2"/>
  <c r="Q29" i="2" s="1"/>
  <c r="P30" i="2"/>
  <c r="Q30" i="2" s="1"/>
  <c r="P7" i="2"/>
  <c r="Q7" i="2" s="1"/>
  <c r="I8" i="2"/>
  <c r="J8" i="2" s="1"/>
  <c r="I9" i="2"/>
  <c r="J9" i="2" s="1"/>
  <c r="I10" i="2"/>
  <c r="J10" i="2" s="1"/>
  <c r="I11" i="2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J11" i="2"/>
  <c r="I7" i="2"/>
  <c r="J7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AC8" i="1"/>
  <c r="AD8" i="1" s="1"/>
  <c r="AC9" i="1"/>
  <c r="AD9" i="1" s="1"/>
  <c r="AC10" i="1"/>
  <c r="AD10" i="1" s="1"/>
  <c r="AC11" i="1"/>
  <c r="AD11" i="1" s="1"/>
  <c r="AC12" i="1"/>
  <c r="AD12" i="1" s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23" i="1"/>
  <c r="AD23" i="1" s="1"/>
  <c r="AC24" i="1"/>
  <c r="AD24" i="1" s="1"/>
  <c r="AC25" i="1"/>
  <c r="AD25" i="1" s="1"/>
  <c r="AC26" i="1"/>
  <c r="AD26" i="1" s="1"/>
  <c r="AC27" i="1"/>
  <c r="AD27" i="1" s="1"/>
  <c r="AC28" i="1"/>
  <c r="AD28" i="1" s="1"/>
  <c r="AC29" i="1"/>
  <c r="AD29" i="1" s="1"/>
  <c r="AC30" i="1"/>
  <c r="AD30" i="1" s="1"/>
  <c r="AC7" i="1"/>
  <c r="AD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7" i="1"/>
  <c r="X7" i="1" s="1"/>
  <c r="Q30" i="1"/>
  <c r="R30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7" i="1"/>
  <c r="R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7" i="1"/>
  <c r="K7" i="1" s="1"/>
  <c r="T7" i="3" l="1"/>
  <c r="C7" i="1"/>
  <c r="C8" i="1"/>
  <c r="C9" i="1"/>
  <c r="C10" i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D7" i="1"/>
  <c r="D8" i="1"/>
  <c r="D9" i="1"/>
  <c r="D10" i="1"/>
  <c r="M9" i="3" l="1"/>
  <c r="M10" i="3" s="1"/>
  <c r="M11" i="3" s="1"/>
  <c r="M13" i="3" l="1"/>
  <c r="Q9" i="3" s="1"/>
  <c r="Q10" i="3" s="1"/>
</calcChain>
</file>

<file path=xl/sharedStrings.xml><?xml version="1.0" encoding="utf-8"?>
<sst xmlns="http://schemas.openxmlformats.org/spreadsheetml/2006/main" count="343" uniqueCount="127">
  <si>
    <t>Sofia</t>
  </si>
  <si>
    <t>Carlos</t>
  </si>
  <si>
    <t>Ana</t>
  </si>
  <si>
    <t>Luis</t>
  </si>
  <si>
    <t>Marta</t>
  </si>
  <si>
    <t>Estudiantes</t>
  </si>
  <si>
    <t>Notas</t>
  </si>
  <si>
    <t>Resultado</t>
  </si>
  <si>
    <t>1.Pensum de Notas</t>
  </si>
  <si>
    <t>2. Desempeño de empleados</t>
  </si>
  <si>
    <t>MARIO</t>
  </si>
  <si>
    <t>PEDRO</t>
  </si>
  <si>
    <t>ANA</t>
  </si>
  <si>
    <t>JOSE</t>
  </si>
  <si>
    <t>Empleado</t>
  </si>
  <si>
    <t>Ventas (Unidades)</t>
  </si>
  <si>
    <t>Desempeño</t>
  </si>
  <si>
    <t>3.  Puntaje de Datacredito</t>
  </si>
  <si>
    <t>Clientes</t>
  </si>
  <si>
    <t>Puntaje</t>
  </si>
  <si>
    <t>Filtro</t>
  </si>
  <si>
    <t>Cliente</t>
  </si>
  <si>
    <t>Dias en Mora</t>
  </si>
  <si>
    <t>4. Seguimiento a Cuentas en Riesgo</t>
  </si>
  <si>
    <t>Filtrado</t>
  </si>
  <si>
    <t>5. Listado de Asistencias</t>
  </si>
  <si>
    <t>Aprendices</t>
  </si>
  <si>
    <t>Can. Faltas</t>
  </si>
  <si>
    <t>Plan de seguimiento</t>
  </si>
  <si>
    <t>1. Seguimiento, =SI anidado</t>
  </si>
  <si>
    <t>2.Pensum de Notas =Si anidado</t>
  </si>
  <si>
    <t>3. Desempeño de empleados =Si anidado</t>
  </si>
  <si>
    <t>ID</t>
  </si>
  <si>
    <t>Nombres</t>
  </si>
  <si>
    <t>Apellidos</t>
  </si>
  <si>
    <t>Identificacion</t>
  </si>
  <si>
    <t>Telefono</t>
  </si>
  <si>
    <t>Cargo</t>
  </si>
  <si>
    <t>Salario</t>
  </si>
  <si>
    <t>Tabla de Empleados</t>
  </si>
  <si>
    <t>Mateo</t>
  </si>
  <si>
    <t>Gael</t>
  </si>
  <si>
    <t>Adrián</t>
  </si>
  <si>
    <t>Lucas</t>
  </si>
  <si>
    <t>Leo</t>
  </si>
  <si>
    <t>Julián</t>
  </si>
  <si>
    <t>Gabriel</t>
  </si>
  <si>
    <t>Sofía</t>
  </si>
  <si>
    <t>Valentina</t>
  </si>
  <si>
    <t>Elena</t>
  </si>
  <si>
    <t>Camila</t>
  </si>
  <si>
    <t>Valeria</t>
  </si>
  <si>
    <t>Isabela</t>
  </si>
  <si>
    <t>Mia</t>
  </si>
  <si>
    <t>Ariel</t>
  </si>
  <si>
    <t>Mendoza</t>
  </si>
  <si>
    <t>Navarro</t>
  </si>
  <si>
    <t>Silva</t>
  </si>
  <si>
    <t>Benítez</t>
  </si>
  <si>
    <t>Castillo</t>
  </si>
  <si>
    <t>Vega</t>
  </si>
  <si>
    <t>Morales</t>
  </si>
  <si>
    <t>Herrera</t>
  </si>
  <si>
    <t>Ortega</t>
  </si>
  <si>
    <t>Delgado</t>
  </si>
  <si>
    <t>Romero</t>
  </si>
  <si>
    <t>Valenzuela</t>
  </si>
  <si>
    <t>Ríos</t>
  </si>
  <si>
    <t>Fuentes</t>
  </si>
  <si>
    <t>Aguilar</t>
  </si>
  <si>
    <t>Gerente de Proyecto</t>
  </si>
  <si>
    <t>Especialista en Marketing Digital</t>
  </si>
  <si>
    <t>Asistente Ejecutivo/a</t>
  </si>
  <si>
    <t>Analista de Datos</t>
  </si>
  <si>
    <t>CC</t>
  </si>
  <si>
    <t>ID EMPLEADOS</t>
  </si>
  <si>
    <t>TELEFONO</t>
  </si>
  <si>
    <t>APELLIDO</t>
  </si>
  <si>
    <t>NOMBRE</t>
  </si>
  <si>
    <t>CIUDAD</t>
  </si>
  <si>
    <t>CARGO</t>
  </si>
  <si>
    <t>SALARIO</t>
  </si>
  <si>
    <t>DIAS TRABAJADOS</t>
  </si>
  <si>
    <t>PAGO TOTAL</t>
  </si>
  <si>
    <t>NOMINA</t>
  </si>
  <si>
    <t>C.C</t>
  </si>
  <si>
    <t>SALUD</t>
  </si>
  <si>
    <t>PENSION</t>
  </si>
  <si>
    <t>RT. FUENTE</t>
  </si>
  <si>
    <t>BONIFICACION</t>
  </si>
  <si>
    <t>V. NETO A PAGAR</t>
  </si>
  <si>
    <t>FECHA</t>
  </si>
  <si>
    <t>Ciudad</t>
  </si>
  <si>
    <t>Cali</t>
  </si>
  <si>
    <t>PAGO + BONIFICACIONES</t>
  </si>
  <si>
    <t>Director General (CEO)</t>
  </si>
  <si>
    <t>Desarrollador de Software</t>
  </si>
  <si>
    <t>Contador Público</t>
  </si>
  <si>
    <t>Administrador de Empresas</t>
  </si>
  <si>
    <t>Diseñadora Gráfica</t>
  </si>
  <si>
    <t>Ejecutiva de Ventas</t>
  </si>
  <si>
    <t>Coordinadora de Recursos Humanos</t>
  </si>
  <si>
    <t>Consultor de Negocios</t>
  </si>
  <si>
    <t>Cerrito</t>
  </si>
  <si>
    <t>Buga</t>
  </si>
  <si>
    <t>Tulua</t>
  </si>
  <si>
    <t>Palmira</t>
  </si>
  <si>
    <t>Candelaria</t>
  </si>
  <si>
    <t>Tuga</t>
  </si>
  <si>
    <t>BONUS</t>
  </si>
  <si>
    <t>&gt;2000000</t>
  </si>
  <si>
    <t>Aux Transporte</t>
  </si>
  <si>
    <t>Aux. Trasnporte</t>
  </si>
  <si>
    <t>Nomina Mes Abril</t>
  </si>
  <si>
    <t>Disponible</t>
  </si>
  <si>
    <t>Favor</t>
  </si>
  <si>
    <t>Total Pagado</t>
  </si>
  <si>
    <t>Aprobado</t>
  </si>
  <si>
    <t>DESPRENDIBLE DE NOMINA</t>
  </si>
  <si>
    <t>SALARIO BASE</t>
  </si>
  <si>
    <t>DESCUENTOS</t>
  </si>
  <si>
    <t>BONIFICACIONES</t>
  </si>
  <si>
    <t>EXTRA DIARIO</t>
  </si>
  <si>
    <t>AUX. TRANS</t>
  </si>
  <si>
    <t>NETO A PAGAR</t>
  </si>
  <si>
    <t>APROBACION</t>
  </si>
  <si>
    <t>RET.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</si>
</sst>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8" formatCode="_-&quot;$&quot;\ * #,##0_-;\-&quot;$&quot;\ * #,##0_-;_-&quot;$&quot;\ 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Aharoni"/>
      <charset val="177"/>
    </font>
    <font>
      <b/>
      <sz val="11"/>
      <color theme="1"/>
      <name val="Yu Gothic UI"/>
      <family val="2"/>
    </font>
    <font>
      <sz val="11"/>
      <color theme="1"/>
      <name val="Yu Gothic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9" xfId="0" applyBorder="1"/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3" fillId="5" borderId="14" xfId="0" applyFont="1" applyFill="1" applyBorder="1"/>
    <xf numFmtId="0" fontId="5" fillId="0" borderId="11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3" fillId="5" borderId="0" xfId="0" applyFont="1" applyFill="1" applyBorder="1"/>
    <xf numFmtId="0" fontId="3" fillId="5" borderId="11" xfId="0" applyFont="1" applyFill="1" applyBorder="1"/>
    <xf numFmtId="0" fontId="3" fillId="5" borderId="6" xfId="0" applyFont="1" applyFill="1" applyBorder="1"/>
    <xf numFmtId="0" fontId="0" fillId="3" borderId="9" xfId="0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5" fillId="0" borderId="1" xfId="0" applyFont="1" applyBorder="1" applyAlignment="1">
      <alignment horizontal="center" vertical="center"/>
    </xf>
    <xf numFmtId="44" fontId="0" fillId="0" borderId="1" xfId="1" applyFont="1" applyBorder="1"/>
    <xf numFmtId="168" fontId="0" fillId="0" borderId="1" xfId="1" applyNumberFormat="1" applyFont="1" applyBorder="1"/>
    <xf numFmtId="168" fontId="0" fillId="3" borderId="8" xfId="1" applyNumberFormat="1" applyFont="1" applyFill="1" applyBorder="1" applyAlignment="1">
      <alignment horizontal="center"/>
    </xf>
    <xf numFmtId="168" fontId="0" fillId="0" borderId="8" xfId="1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7" borderId="1" xfId="0" applyFont="1" applyFill="1" applyBorder="1" applyAlignment="1">
      <alignment horizontal="left"/>
    </xf>
    <xf numFmtId="0" fontId="7" fillId="0" borderId="0" xfId="0" applyFont="1" applyBorder="1" applyAlignment="1"/>
    <xf numFmtId="0" fontId="7" fillId="0" borderId="0" xfId="0" applyFont="1" applyBorder="1"/>
    <xf numFmtId="0" fontId="7" fillId="4" borderId="6" xfId="0" applyFont="1" applyFill="1" applyBorder="1"/>
    <xf numFmtId="0" fontId="7" fillId="0" borderId="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2" xfId="0" applyFont="1" applyBorder="1"/>
    <xf numFmtId="0" fontId="7" fillId="7" borderId="11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7" fillId="4" borderId="2" xfId="0" applyFont="1" applyFill="1" applyBorder="1"/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4" borderId="9" xfId="0" applyFont="1" applyFill="1" applyBorder="1"/>
    <xf numFmtId="0" fontId="7" fillId="0" borderId="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7" borderId="0" xfId="0" applyFont="1" applyFill="1" applyBorder="1" applyAlignment="1">
      <alignment horizontal="center"/>
    </xf>
    <xf numFmtId="168" fontId="7" fillId="4" borderId="0" xfId="1" applyNumberFormat="1" applyFont="1" applyFill="1" applyBorder="1" applyAlignment="1">
      <alignment horizontal="center"/>
    </xf>
    <xf numFmtId="168" fontId="7" fillId="4" borderId="12" xfId="1" applyNumberFormat="1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168" fontId="7" fillId="0" borderId="13" xfId="1" applyNumberFormat="1" applyFont="1" applyBorder="1" applyAlignment="1">
      <alignment horizontal="center"/>
    </xf>
    <xf numFmtId="168" fontId="7" fillId="0" borderId="5" xfId="1" applyNumberFormat="1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6" borderId="14" xfId="0" applyFont="1" applyFill="1" applyBorder="1"/>
    <xf numFmtId="168" fontId="7" fillId="6" borderId="9" xfId="1" applyNumberFormat="1" applyFont="1" applyFill="1" applyBorder="1" applyAlignment="1">
      <alignment horizontal="center"/>
    </xf>
    <xf numFmtId="168" fontId="7" fillId="6" borderId="7" xfId="1" applyNumberFormat="1" applyFont="1" applyFill="1" applyBorder="1" applyAlignment="1">
      <alignment horizontal="center"/>
    </xf>
    <xf numFmtId="0" fontId="7" fillId="6" borderId="8" xfId="0" applyFont="1" applyFill="1" applyBorder="1"/>
    <xf numFmtId="168" fontId="7" fillId="6" borderId="0" xfId="1" applyNumberFormat="1" applyFont="1" applyFill="1" applyBorder="1" applyAlignment="1">
      <alignment horizontal="center"/>
    </xf>
    <xf numFmtId="168" fontId="7" fillId="6" borderId="12" xfId="1" applyNumberFormat="1" applyFont="1" applyFill="1" applyBorder="1" applyAlignment="1">
      <alignment horizontal="center"/>
    </xf>
    <xf numFmtId="0" fontId="7" fillId="4" borderId="14" xfId="0" applyFont="1" applyFill="1" applyBorder="1"/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7" fillId="0" borderId="14" xfId="0" applyFont="1" applyBorder="1"/>
    <xf numFmtId="168" fontId="7" fillId="0" borderId="11" xfId="1" applyNumberFormat="1" applyFont="1" applyBorder="1" applyAlignment="1">
      <alignment horizontal="center"/>
    </xf>
    <xf numFmtId="168" fontId="7" fillId="0" borderId="12" xfId="1" applyNumberFormat="1" applyFont="1" applyBorder="1" applyAlignment="1">
      <alignment horizontal="center"/>
    </xf>
    <xf numFmtId="168" fontId="7" fillId="0" borderId="0" xfId="1" applyNumberFormat="1" applyFont="1" applyBorder="1" applyAlignment="1">
      <alignment horizontal="center"/>
    </xf>
    <xf numFmtId="0" fontId="7" fillId="4" borderId="4" xfId="0" applyFont="1" applyFill="1" applyBorder="1"/>
    <xf numFmtId="0" fontId="7" fillId="4" borderId="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168" fontId="7" fillId="0" borderId="10" xfId="0" applyNumberFormat="1" applyFont="1" applyBorder="1" applyAlignment="1">
      <alignment horizontal="center"/>
    </xf>
    <xf numFmtId="0" fontId="7" fillId="6" borderId="4" xfId="0" applyFont="1" applyFill="1" applyBorder="1"/>
    <xf numFmtId="0" fontId="7" fillId="0" borderId="13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3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9" tint="0.59996337778862885"/>
        </patternFill>
      </fill>
    </dxf>
    <dxf>
      <font>
        <color theme="1" tint="4.9989318521683403E-2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-&quot;$&quot;\ * #,##0_-;\-&quot;$&quot;\ * #,##0_-;_-&quot;$&quot;\ 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19051</xdr:colOff>
      <xdr:row>4</xdr:row>
      <xdr:rowOff>28574</xdr:rowOff>
    </xdr:from>
    <xdr:to>
      <xdr:col>7</xdr:col>
      <xdr:colOff>742951</xdr:colOff>
      <xdr:row>10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6B68E5-2934-487D-8CF1-12EE2A8DF5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225" t="40012" r="36683" b="18463"/>
        <a:stretch/>
      </xdr:blipFill>
      <xdr:spPr>
        <a:xfrm>
          <a:off x="3829051" y="790574"/>
          <a:ext cx="2247900" cy="12954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747DA-66ED-4144-B5A4-A7DB536CC003}" name="Tabla1" displayName="Tabla1" ref="B3:I18" totalsRowShown="0" headerRowDxfId="33" tableBorderDxfId="38">
  <autoFilter ref="B3:I18" xr:uid="{F4529798-A1AF-441E-AFE5-5D2C47C0C2C5}"/>
  <tableColumns count="8">
    <tableColumn id="1" xr3:uid="{0EC682B3-6801-4DE3-B882-6067547E335F}" name="ID" dataDxfId="37"/>
    <tableColumn id="2" xr3:uid="{5DBC6942-AC0E-43B7-B4EB-989D3E4766F6}" name="Nombres"/>
    <tableColumn id="3" xr3:uid="{2C2EC65C-C879-4B6C-9E39-8BF37EFF72D3}" name="Apellidos" dataDxfId="36"/>
    <tableColumn id="4" xr3:uid="{D5945C95-90C5-45F3-BAA4-2605907C9709}" name="Identificacion" dataDxfId="35"/>
    <tableColumn id="5" xr3:uid="{D041DB97-547F-48DF-9203-EC405F8404AF}" name="Telefono" dataDxfId="34"/>
    <tableColumn id="6" xr3:uid="{74C1E4B3-85B4-4444-BAA5-873F02CB3152}" name="Cargo" dataDxfId="32"/>
    <tableColumn id="7" xr3:uid="{A8A9EDF0-87DA-452C-9BAF-0930173D9528}" name="Salario" dataDxfId="30" dataCellStyle="Moneda"/>
    <tableColumn id="8" xr3:uid="{360C8450-2002-4EB8-871F-30A82AC975A7}" name="Ciudad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D8AE-1784-4A53-8843-9833E3E23714}">
  <dimension ref="A3:AM33"/>
  <sheetViews>
    <sheetView zoomScaleNormal="100" workbookViewId="0">
      <selection activeCell="E38" sqref="E38"/>
    </sheetView>
  </sheetViews>
  <sheetFormatPr baseColWidth="10" defaultRowHeight="15" x14ac:dyDescent="0.25"/>
  <cols>
    <col min="2" max="2" width="15.140625" customWidth="1"/>
    <col min="4" max="4" width="21.28515625" customWidth="1"/>
    <col min="10" max="10" width="17.42578125" bestFit="1" customWidth="1"/>
    <col min="11" max="11" width="11.7109375" bestFit="1" customWidth="1"/>
    <col min="18" max="18" width="21" bestFit="1" customWidth="1"/>
    <col min="23" max="23" width="12.42578125" bestFit="1" customWidth="1"/>
    <col min="24" max="24" width="14.42578125" bestFit="1" customWidth="1"/>
    <col min="30" max="30" width="19.28515625" bestFit="1" customWidth="1"/>
  </cols>
  <sheetData>
    <row r="3" spans="1:39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</row>
    <row r="4" spans="1:39" x14ac:dyDescent="0.25">
      <c r="A4" s="19"/>
      <c r="B4" s="11" t="s">
        <v>8</v>
      </c>
      <c r="C4" s="11"/>
      <c r="D4" s="11"/>
      <c r="E4" s="19"/>
      <c r="F4" s="19"/>
      <c r="G4" s="19"/>
      <c r="H4" s="11" t="s">
        <v>9</v>
      </c>
      <c r="I4" s="11"/>
      <c r="J4" s="11"/>
      <c r="K4" s="11"/>
      <c r="L4" s="19"/>
      <c r="M4" s="19"/>
      <c r="N4" s="19"/>
      <c r="O4" s="10" t="s">
        <v>17</v>
      </c>
      <c r="P4" s="10"/>
      <c r="Q4" s="10"/>
      <c r="R4" s="10"/>
      <c r="S4" s="19"/>
      <c r="T4" s="19"/>
      <c r="U4" s="19"/>
      <c r="V4" s="10" t="s">
        <v>23</v>
      </c>
      <c r="W4" s="10"/>
      <c r="X4" s="10"/>
      <c r="Y4" s="19"/>
      <c r="Z4" s="19"/>
      <c r="AA4" s="19"/>
      <c r="AB4" s="10" t="s">
        <v>25</v>
      </c>
      <c r="AC4" s="10"/>
      <c r="AD4" s="10"/>
      <c r="AE4" s="19"/>
      <c r="AF4" s="19"/>
      <c r="AG4" s="19"/>
      <c r="AH4" s="19"/>
      <c r="AI4" s="19"/>
      <c r="AJ4" s="19"/>
      <c r="AK4" s="19"/>
      <c r="AL4" s="19"/>
      <c r="AM4" s="19"/>
    </row>
    <row r="5" spans="1:39" x14ac:dyDescent="0.25">
      <c r="A5" s="19"/>
      <c r="B5" s="11"/>
      <c r="C5" s="11"/>
      <c r="D5" s="11"/>
      <c r="E5" s="19"/>
      <c r="F5" s="19"/>
      <c r="G5" s="19"/>
      <c r="H5" s="11"/>
      <c r="I5" s="11"/>
      <c r="J5" s="11"/>
      <c r="K5" s="11"/>
      <c r="L5" s="19"/>
      <c r="M5" s="19"/>
      <c r="N5" s="19"/>
      <c r="O5" s="10"/>
      <c r="P5" s="10"/>
      <c r="Q5" s="10"/>
      <c r="R5" s="10"/>
      <c r="S5" s="19"/>
      <c r="T5" s="19"/>
      <c r="U5" s="19"/>
      <c r="V5" s="10"/>
      <c r="W5" s="10"/>
      <c r="X5" s="10"/>
      <c r="Y5" s="19"/>
      <c r="Z5" s="19"/>
      <c r="AA5" s="19"/>
      <c r="AB5" s="10"/>
      <c r="AC5" s="10"/>
      <c r="AD5" s="10"/>
      <c r="AE5" s="19"/>
      <c r="AF5" s="19"/>
      <c r="AG5" s="19"/>
      <c r="AH5" s="19"/>
      <c r="AI5" s="19"/>
      <c r="AJ5" s="19"/>
      <c r="AK5" s="19"/>
      <c r="AL5" s="19"/>
      <c r="AM5" s="19"/>
    </row>
    <row r="6" spans="1:39" x14ac:dyDescent="0.25">
      <c r="A6" s="19"/>
      <c r="B6" s="4" t="s">
        <v>5</v>
      </c>
      <c r="C6" s="4" t="s">
        <v>6</v>
      </c>
      <c r="D6" s="4" t="s">
        <v>7</v>
      </c>
      <c r="E6" s="19"/>
      <c r="F6" s="19"/>
      <c r="G6" s="19"/>
      <c r="H6" s="12" t="s">
        <v>14</v>
      </c>
      <c r="I6" s="12"/>
      <c r="J6" s="4" t="s">
        <v>15</v>
      </c>
      <c r="K6" s="4" t="s">
        <v>16</v>
      </c>
      <c r="L6" s="19"/>
      <c r="M6" s="19"/>
      <c r="N6" s="19"/>
      <c r="O6" s="9" t="s">
        <v>18</v>
      </c>
      <c r="P6" s="9"/>
      <c r="Q6" s="3" t="s">
        <v>19</v>
      </c>
      <c r="R6" s="3" t="s">
        <v>20</v>
      </c>
      <c r="S6" s="19"/>
      <c r="T6" s="19"/>
      <c r="U6" s="19"/>
      <c r="V6" s="23" t="s">
        <v>21</v>
      </c>
      <c r="W6" s="23" t="s">
        <v>22</v>
      </c>
      <c r="X6" s="23" t="s">
        <v>24</v>
      </c>
      <c r="Y6" s="19"/>
      <c r="Z6" s="19"/>
      <c r="AA6" s="19"/>
      <c r="AB6" s="23" t="s">
        <v>26</v>
      </c>
      <c r="AC6" s="23" t="s">
        <v>27</v>
      </c>
      <c r="AD6" s="23" t="s">
        <v>28</v>
      </c>
      <c r="AE6" s="19"/>
      <c r="AF6" s="19"/>
      <c r="AG6" s="19"/>
      <c r="AH6" s="19"/>
      <c r="AI6" s="19"/>
      <c r="AJ6" s="19"/>
      <c r="AK6" s="19"/>
      <c r="AL6" s="19"/>
      <c r="AM6" s="19"/>
    </row>
    <row r="7" spans="1:39" x14ac:dyDescent="0.25">
      <c r="A7" s="19"/>
      <c r="B7" s="24" t="s">
        <v>0</v>
      </c>
      <c r="C7" s="2">
        <f ca="1">RANDBETWEEN(4,5)</f>
        <v>4</v>
      </c>
      <c r="D7" s="2" t="str">
        <f ca="1">IF(C7=5,"Aprobo","Reprobo")</f>
        <v>Reprobo</v>
      </c>
      <c r="E7" s="19"/>
      <c r="F7" s="19"/>
      <c r="G7" s="19"/>
      <c r="H7" s="9" t="s">
        <v>10</v>
      </c>
      <c r="I7" s="9"/>
      <c r="J7" s="2">
        <f ca="1">RANDBETWEEN(67,200)</f>
        <v>85</v>
      </c>
      <c r="K7" s="2" t="str">
        <f ca="1">IF(J7&lt;110,"Bajo","Alto")</f>
        <v>Bajo</v>
      </c>
      <c r="L7" s="19"/>
      <c r="M7" s="19"/>
      <c r="N7" s="19"/>
      <c r="O7" s="9" t="s">
        <v>11</v>
      </c>
      <c r="P7" s="9"/>
      <c r="Q7" s="2">
        <f ca="1">RANDBETWEEN(100,500)</f>
        <v>254</v>
      </c>
      <c r="R7" s="2" t="str">
        <f ca="1">IF(Q7&lt;250,"Bajo, No aprueba","Alto, credito aprobado")</f>
        <v>Alto, credito aprobado</v>
      </c>
      <c r="S7" s="19"/>
      <c r="T7" s="19"/>
      <c r="U7" s="19"/>
      <c r="V7" s="25" t="s">
        <v>0</v>
      </c>
      <c r="W7" s="2">
        <f ca="1">RANDBETWEEN(10,65)</f>
        <v>58</v>
      </c>
      <c r="X7" s="2" t="str">
        <f ca="1">IF(W7&lt;30,"Pago en espera","Cuenta en Mora")</f>
        <v>Cuenta en Mora</v>
      </c>
      <c r="Y7" s="19"/>
      <c r="Z7" s="19"/>
      <c r="AA7" s="19"/>
      <c r="AB7" s="24" t="s">
        <v>0</v>
      </c>
      <c r="AC7" s="2">
        <f ca="1">RANDBETWEEN(1,10)</f>
        <v>4</v>
      </c>
      <c r="AD7" s="2" t="str">
        <f ca="1">IF(AC7&lt;=5,"No hay problema","Llamado de atencion")</f>
        <v>No hay problema</v>
      </c>
      <c r="AE7" s="19"/>
      <c r="AF7" s="19"/>
      <c r="AG7" s="19"/>
      <c r="AH7" s="19"/>
      <c r="AI7" s="19"/>
      <c r="AJ7" s="19"/>
      <c r="AK7" s="19"/>
      <c r="AL7" s="19"/>
      <c r="AM7" s="19"/>
    </row>
    <row r="8" spans="1:39" x14ac:dyDescent="0.25">
      <c r="A8" s="19"/>
      <c r="B8" s="26" t="s">
        <v>1</v>
      </c>
      <c r="C8" s="2">
        <f t="shared" ref="C8:C30" ca="1" si="0">RANDBETWEEN(4,5)</f>
        <v>5</v>
      </c>
      <c r="D8" s="2" t="str">
        <f t="shared" ref="D8:D30" ca="1" si="1">IF(C8=5,"Aprobo","Reprobo")</f>
        <v>Aprobo</v>
      </c>
      <c r="E8" s="19"/>
      <c r="F8" s="19"/>
      <c r="G8" s="19"/>
      <c r="H8" s="9" t="s">
        <v>11</v>
      </c>
      <c r="I8" s="9"/>
      <c r="J8" s="2">
        <f t="shared" ref="J8:J30" ca="1" si="2">RANDBETWEEN(67,200)</f>
        <v>156</v>
      </c>
      <c r="K8" s="2" t="str">
        <f t="shared" ref="K8:K30" ca="1" si="3">IF(J8&lt;110,"Bajo","Alto")</f>
        <v>Alto</v>
      </c>
      <c r="L8" s="19"/>
      <c r="M8" s="19"/>
      <c r="N8" s="19"/>
      <c r="O8" s="9" t="s">
        <v>12</v>
      </c>
      <c r="P8" s="9"/>
      <c r="Q8" s="2">
        <f t="shared" ref="Q8:Q30" ca="1" si="4">RANDBETWEEN(100,500)</f>
        <v>316</v>
      </c>
      <c r="R8" s="2" t="str">
        <f t="shared" ref="R8:R28" ca="1" si="5">IF(Q8&lt;250,"Bajo, No aprueba","Alto, credito aprobado")</f>
        <v>Alto, credito aprobado</v>
      </c>
      <c r="S8" s="19"/>
      <c r="T8" s="19"/>
      <c r="U8" s="19"/>
      <c r="V8" s="26" t="s">
        <v>1</v>
      </c>
      <c r="W8" s="2">
        <f t="shared" ref="W8:W30" ca="1" si="6">RANDBETWEEN(10,65)</f>
        <v>20</v>
      </c>
      <c r="X8" s="2" t="str">
        <f t="shared" ref="X8:X30" ca="1" si="7">IF(W8&lt;30,"Pago en espera","Cuenta en Mora")</f>
        <v>Pago en espera</v>
      </c>
      <c r="Y8" s="19"/>
      <c r="Z8" s="19"/>
      <c r="AA8" s="19"/>
      <c r="AB8" s="26" t="s">
        <v>1</v>
      </c>
      <c r="AC8" s="2">
        <f t="shared" ref="AC8:AC30" ca="1" si="8">RANDBETWEEN(1,10)</f>
        <v>3</v>
      </c>
      <c r="AD8" s="2" t="str">
        <f t="shared" ref="AD8:AD30" ca="1" si="9">IF(AC8&lt;=5,"No hay problema","Llamado de atencion")</f>
        <v>No hay problema</v>
      </c>
      <c r="AE8" s="19"/>
      <c r="AF8" s="19"/>
      <c r="AG8" s="19"/>
      <c r="AH8" s="19"/>
      <c r="AI8" s="19"/>
      <c r="AJ8" s="19"/>
      <c r="AK8" s="19"/>
      <c r="AL8" s="19"/>
      <c r="AM8" s="19"/>
    </row>
    <row r="9" spans="1:39" x14ac:dyDescent="0.25">
      <c r="A9" s="19"/>
      <c r="B9" s="24" t="s">
        <v>2</v>
      </c>
      <c r="C9" s="2">
        <f t="shared" ca="1" si="0"/>
        <v>4</v>
      </c>
      <c r="D9" s="2" t="str">
        <f t="shared" ca="1" si="1"/>
        <v>Reprobo</v>
      </c>
      <c r="E9" s="19"/>
      <c r="F9" s="19"/>
      <c r="G9" s="19"/>
      <c r="H9" s="9" t="s">
        <v>12</v>
      </c>
      <c r="I9" s="9"/>
      <c r="J9" s="2">
        <f t="shared" ca="1" si="2"/>
        <v>119</v>
      </c>
      <c r="K9" s="2" t="str">
        <f t="shared" ca="1" si="3"/>
        <v>Alto</v>
      </c>
      <c r="L9" s="19"/>
      <c r="M9" s="19"/>
      <c r="N9" s="19"/>
      <c r="O9" s="9" t="s">
        <v>13</v>
      </c>
      <c r="P9" s="9"/>
      <c r="Q9" s="2">
        <f t="shared" ca="1" si="4"/>
        <v>256</v>
      </c>
      <c r="R9" s="2" t="str">
        <f t="shared" ca="1" si="5"/>
        <v>Alto, credito aprobado</v>
      </c>
      <c r="S9" s="19"/>
      <c r="T9" s="19"/>
      <c r="U9" s="19"/>
      <c r="V9" s="24" t="s">
        <v>2</v>
      </c>
      <c r="W9" s="2">
        <f t="shared" ca="1" si="6"/>
        <v>57</v>
      </c>
      <c r="X9" s="2" t="str">
        <f t="shared" ca="1" si="7"/>
        <v>Cuenta en Mora</v>
      </c>
      <c r="Y9" s="19"/>
      <c r="Z9" s="19"/>
      <c r="AA9" s="19"/>
      <c r="AB9" s="24" t="s">
        <v>2</v>
      </c>
      <c r="AC9" s="2">
        <f t="shared" ca="1" si="8"/>
        <v>5</v>
      </c>
      <c r="AD9" s="2" t="str">
        <f t="shared" ca="1" si="9"/>
        <v>No hay problema</v>
      </c>
      <c r="AE9" s="19"/>
      <c r="AF9" s="19"/>
      <c r="AG9" s="19"/>
      <c r="AH9" s="19"/>
      <c r="AI9" s="19"/>
      <c r="AJ9" s="19"/>
      <c r="AK9" s="19"/>
      <c r="AL9" s="19"/>
      <c r="AM9" s="19"/>
    </row>
    <row r="10" spans="1:39" x14ac:dyDescent="0.25">
      <c r="A10" s="19"/>
      <c r="B10" s="26" t="s">
        <v>1</v>
      </c>
      <c r="C10" s="2">
        <f t="shared" ca="1" si="0"/>
        <v>4</v>
      </c>
      <c r="D10" s="2" t="str">
        <f t="shared" ca="1" si="1"/>
        <v>Reprobo</v>
      </c>
      <c r="E10" s="19"/>
      <c r="F10" s="19"/>
      <c r="G10" s="19"/>
      <c r="H10" s="9" t="s">
        <v>13</v>
      </c>
      <c r="I10" s="9"/>
      <c r="J10" s="2">
        <f t="shared" ca="1" si="2"/>
        <v>100</v>
      </c>
      <c r="K10" s="2" t="str">
        <f t="shared" ca="1" si="3"/>
        <v>Bajo</v>
      </c>
      <c r="L10" s="19"/>
      <c r="M10" s="19"/>
      <c r="N10" s="19"/>
      <c r="O10" s="9" t="s">
        <v>10</v>
      </c>
      <c r="P10" s="9"/>
      <c r="Q10" s="2">
        <f t="shared" ca="1" si="4"/>
        <v>190</v>
      </c>
      <c r="R10" s="2" t="str">
        <f t="shared" ca="1" si="5"/>
        <v>Bajo, No aprueba</v>
      </c>
      <c r="S10" s="19"/>
      <c r="T10" s="19"/>
      <c r="U10" s="19"/>
      <c r="V10" s="26" t="s">
        <v>1</v>
      </c>
      <c r="W10" s="2">
        <f t="shared" ca="1" si="6"/>
        <v>63</v>
      </c>
      <c r="X10" s="2" t="str">
        <f t="shared" ca="1" si="7"/>
        <v>Cuenta en Mora</v>
      </c>
      <c r="Y10" s="19"/>
      <c r="Z10" s="19"/>
      <c r="AA10" s="19"/>
      <c r="AB10" s="26" t="s">
        <v>1</v>
      </c>
      <c r="AC10" s="2">
        <f t="shared" ca="1" si="8"/>
        <v>2</v>
      </c>
      <c r="AD10" s="2" t="str">
        <f t="shared" ca="1" si="9"/>
        <v>No hay problema</v>
      </c>
      <c r="AE10" s="19"/>
      <c r="AF10" s="19"/>
      <c r="AG10" s="19"/>
      <c r="AH10" s="19"/>
      <c r="AI10" s="19"/>
      <c r="AJ10" s="19"/>
      <c r="AK10" s="19"/>
      <c r="AL10" s="19"/>
      <c r="AM10" s="19"/>
    </row>
    <row r="11" spans="1:39" x14ac:dyDescent="0.25">
      <c r="A11" s="19"/>
      <c r="B11" s="24" t="s">
        <v>3</v>
      </c>
      <c r="C11" s="2">
        <f t="shared" ca="1" si="0"/>
        <v>4</v>
      </c>
      <c r="D11" s="2" t="str">
        <f t="shared" ca="1" si="1"/>
        <v>Reprobo</v>
      </c>
      <c r="E11" s="19"/>
      <c r="F11" s="19"/>
      <c r="G11" s="19"/>
      <c r="H11" s="9" t="s">
        <v>10</v>
      </c>
      <c r="I11" s="9"/>
      <c r="J11" s="2">
        <f t="shared" ca="1" si="2"/>
        <v>118</v>
      </c>
      <c r="K11" s="2" t="str">
        <f t="shared" ca="1" si="3"/>
        <v>Alto</v>
      </c>
      <c r="L11" s="19"/>
      <c r="M11" s="19"/>
      <c r="N11" s="19"/>
      <c r="O11" s="9" t="s">
        <v>11</v>
      </c>
      <c r="P11" s="9"/>
      <c r="Q11" s="2">
        <f t="shared" ca="1" si="4"/>
        <v>386</v>
      </c>
      <c r="R11" s="2" t="str">
        <f t="shared" ca="1" si="5"/>
        <v>Alto, credito aprobado</v>
      </c>
      <c r="S11" s="19"/>
      <c r="T11" s="19"/>
      <c r="U11" s="19"/>
      <c r="V11" s="24" t="s">
        <v>3</v>
      </c>
      <c r="W11" s="2">
        <f t="shared" ca="1" si="6"/>
        <v>24</v>
      </c>
      <c r="X11" s="2" t="str">
        <f t="shared" ca="1" si="7"/>
        <v>Pago en espera</v>
      </c>
      <c r="Y11" s="19"/>
      <c r="Z11" s="19"/>
      <c r="AA11" s="19"/>
      <c r="AB11" s="24" t="s">
        <v>3</v>
      </c>
      <c r="AC11" s="2">
        <f t="shared" ca="1" si="8"/>
        <v>2</v>
      </c>
      <c r="AD11" s="2" t="str">
        <f t="shared" ca="1" si="9"/>
        <v>No hay problema</v>
      </c>
      <c r="AE11" s="19"/>
      <c r="AF11" s="19"/>
      <c r="AG11" s="19"/>
      <c r="AH11" s="19"/>
      <c r="AI11" s="19"/>
      <c r="AJ11" s="19"/>
      <c r="AK11" s="19"/>
      <c r="AL11" s="19"/>
      <c r="AM11" s="19"/>
    </row>
    <row r="12" spans="1:39" x14ac:dyDescent="0.25">
      <c r="A12" s="19"/>
      <c r="B12" s="26" t="s">
        <v>2</v>
      </c>
      <c r="C12" s="2">
        <f t="shared" ca="1" si="0"/>
        <v>5</v>
      </c>
      <c r="D12" s="2" t="str">
        <f t="shared" ca="1" si="1"/>
        <v>Aprobo</v>
      </c>
      <c r="E12" s="19"/>
      <c r="F12" s="19"/>
      <c r="G12" s="19"/>
      <c r="H12" s="9" t="s">
        <v>11</v>
      </c>
      <c r="I12" s="9"/>
      <c r="J12" s="2">
        <f t="shared" ca="1" si="2"/>
        <v>141</v>
      </c>
      <c r="K12" s="2" t="str">
        <f t="shared" ca="1" si="3"/>
        <v>Alto</v>
      </c>
      <c r="L12" s="19"/>
      <c r="M12" s="19"/>
      <c r="N12" s="19"/>
      <c r="O12" s="9" t="s">
        <v>12</v>
      </c>
      <c r="P12" s="9"/>
      <c r="Q12" s="2">
        <f t="shared" ca="1" si="4"/>
        <v>176</v>
      </c>
      <c r="R12" s="2" t="str">
        <f t="shared" ca="1" si="5"/>
        <v>Bajo, No aprueba</v>
      </c>
      <c r="S12" s="19"/>
      <c r="T12" s="19"/>
      <c r="U12" s="19"/>
      <c r="V12" s="26" t="s">
        <v>2</v>
      </c>
      <c r="W12" s="2">
        <f t="shared" ca="1" si="6"/>
        <v>63</v>
      </c>
      <c r="X12" s="2" t="str">
        <f t="shared" ca="1" si="7"/>
        <v>Cuenta en Mora</v>
      </c>
      <c r="Y12" s="19"/>
      <c r="Z12" s="19"/>
      <c r="AA12" s="19"/>
      <c r="AB12" s="26" t="s">
        <v>2</v>
      </c>
      <c r="AC12" s="2">
        <f t="shared" ca="1" si="8"/>
        <v>2</v>
      </c>
      <c r="AD12" s="2" t="str">
        <f t="shared" ca="1" si="9"/>
        <v>No hay problema</v>
      </c>
      <c r="AE12" s="19"/>
      <c r="AF12" s="19"/>
      <c r="AG12" s="19"/>
      <c r="AH12" s="19"/>
      <c r="AI12" s="19"/>
      <c r="AJ12" s="19"/>
      <c r="AK12" s="19"/>
      <c r="AL12" s="19"/>
      <c r="AM12" s="19"/>
    </row>
    <row r="13" spans="1:39" x14ac:dyDescent="0.25">
      <c r="A13" s="19"/>
      <c r="B13" s="24" t="s">
        <v>3</v>
      </c>
      <c r="C13" s="2">
        <f t="shared" ca="1" si="0"/>
        <v>5</v>
      </c>
      <c r="D13" s="2" t="str">
        <f t="shared" ca="1" si="1"/>
        <v>Aprobo</v>
      </c>
      <c r="E13" s="19"/>
      <c r="F13" s="19"/>
      <c r="G13" s="19"/>
      <c r="H13" s="9" t="s">
        <v>12</v>
      </c>
      <c r="I13" s="9"/>
      <c r="J13" s="2">
        <f t="shared" ca="1" si="2"/>
        <v>124</v>
      </c>
      <c r="K13" s="2" t="str">
        <f t="shared" ca="1" si="3"/>
        <v>Alto</v>
      </c>
      <c r="L13" s="19"/>
      <c r="M13" s="19"/>
      <c r="N13" s="19"/>
      <c r="O13" s="9" t="s">
        <v>13</v>
      </c>
      <c r="P13" s="9"/>
      <c r="Q13" s="2">
        <f t="shared" ca="1" si="4"/>
        <v>430</v>
      </c>
      <c r="R13" s="2" t="str">
        <f t="shared" ca="1" si="5"/>
        <v>Alto, credito aprobado</v>
      </c>
      <c r="S13" s="19"/>
      <c r="T13" s="19"/>
      <c r="U13" s="19"/>
      <c r="V13" s="24" t="s">
        <v>3</v>
      </c>
      <c r="W13" s="2">
        <f t="shared" ca="1" si="6"/>
        <v>48</v>
      </c>
      <c r="X13" s="2" t="str">
        <f t="shared" ca="1" si="7"/>
        <v>Cuenta en Mora</v>
      </c>
      <c r="Y13" s="19"/>
      <c r="Z13" s="19"/>
      <c r="AA13" s="19"/>
      <c r="AB13" s="24" t="s">
        <v>3</v>
      </c>
      <c r="AC13" s="2">
        <f t="shared" ca="1" si="8"/>
        <v>2</v>
      </c>
      <c r="AD13" s="2" t="str">
        <f t="shared" ca="1" si="9"/>
        <v>No hay problema</v>
      </c>
      <c r="AE13" s="19"/>
      <c r="AF13" s="19"/>
      <c r="AG13" s="19"/>
      <c r="AH13" s="19"/>
      <c r="AI13" s="19"/>
      <c r="AJ13" s="19"/>
      <c r="AK13" s="19"/>
      <c r="AL13" s="19"/>
      <c r="AM13" s="19"/>
    </row>
    <row r="14" spans="1:39" x14ac:dyDescent="0.25">
      <c r="A14" s="19"/>
      <c r="B14" s="26" t="s">
        <v>3</v>
      </c>
      <c r="C14" s="2">
        <f t="shared" ca="1" si="0"/>
        <v>4</v>
      </c>
      <c r="D14" s="2" t="str">
        <f t="shared" ca="1" si="1"/>
        <v>Reprobo</v>
      </c>
      <c r="E14" s="19"/>
      <c r="F14" s="19"/>
      <c r="G14" s="19"/>
      <c r="H14" s="9" t="s">
        <v>13</v>
      </c>
      <c r="I14" s="9"/>
      <c r="J14" s="2">
        <f t="shared" ca="1" si="2"/>
        <v>193</v>
      </c>
      <c r="K14" s="2" t="str">
        <f t="shared" ca="1" si="3"/>
        <v>Alto</v>
      </c>
      <c r="L14" s="19"/>
      <c r="M14" s="19"/>
      <c r="N14" s="19"/>
      <c r="O14" s="9" t="s">
        <v>10</v>
      </c>
      <c r="P14" s="9"/>
      <c r="Q14" s="2">
        <f t="shared" ca="1" si="4"/>
        <v>465</v>
      </c>
      <c r="R14" s="2" t="str">
        <f t="shared" ca="1" si="5"/>
        <v>Alto, credito aprobado</v>
      </c>
      <c r="S14" s="19"/>
      <c r="T14" s="19"/>
      <c r="U14" s="19"/>
      <c r="V14" s="26" t="s">
        <v>3</v>
      </c>
      <c r="W14" s="2">
        <f t="shared" ca="1" si="6"/>
        <v>29</v>
      </c>
      <c r="X14" s="2" t="str">
        <f t="shared" ca="1" si="7"/>
        <v>Pago en espera</v>
      </c>
      <c r="Y14" s="19"/>
      <c r="Z14" s="19"/>
      <c r="AA14" s="19"/>
      <c r="AB14" s="26" t="s">
        <v>3</v>
      </c>
      <c r="AC14" s="2">
        <f t="shared" ca="1" si="8"/>
        <v>7</v>
      </c>
      <c r="AD14" s="2" t="str">
        <f t="shared" ca="1" si="9"/>
        <v>Llamado de atencion</v>
      </c>
      <c r="AE14" s="19"/>
      <c r="AF14" s="19"/>
      <c r="AG14" s="19"/>
      <c r="AH14" s="19"/>
      <c r="AI14" s="19"/>
      <c r="AJ14" s="19"/>
      <c r="AK14" s="19"/>
      <c r="AL14" s="19"/>
      <c r="AM14" s="19"/>
    </row>
    <row r="15" spans="1:39" x14ac:dyDescent="0.25">
      <c r="A15" s="19"/>
      <c r="B15" s="24" t="s">
        <v>1</v>
      </c>
      <c r="C15" s="2">
        <f t="shared" ca="1" si="0"/>
        <v>4</v>
      </c>
      <c r="D15" s="2" t="str">
        <f t="shared" ca="1" si="1"/>
        <v>Reprobo</v>
      </c>
      <c r="E15" s="19"/>
      <c r="F15" s="19"/>
      <c r="G15" s="19"/>
      <c r="H15" s="9" t="s">
        <v>10</v>
      </c>
      <c r="I15" s="9"/>
      <c r="J15" s="2">
        <f t="shared" ca="1" si="2"/>
        <v>185</v>
      </c>
      <c r="K15" s="2" t="str">
        <f t="shared" ca="1" si="3"/>
        <v>Alto</v>
      </c>
      <c r="L15" s="19"/>
      <c r="M15" s="19"/>
      <c r="N15" s="19"/>
      <c r="O15" s="9" t="s">
        <v>11</v>
      </c>
      <c r="P15" s="9"/>
      <c r="Q15" s="2">
        <f t="shared" ca="1" si="4"/>
        <v>238</v>
      </c>
      <c r="R15" s="2" t="str">
        <f t="shared" ca="1" si="5"/>
        <v>Bajo, No aprueba</v>
      </c>
      <c r="S15" s="19"/>
      <c r="T15" s="19"/>
      <c r="U15" s="19"/>
      <c r="V15" s="24" t="s">
        <v>1</v>
      </c>
      <c r="W15" s="2">
        <f t="shared" ca="1" si="6"/>
        <v>55</v>
      </c>
      <c r="X15" s="2" t="str">
        <f t="shared" ca="1" si="7"/>
        <v>Cuenta en Mora</v>
      </c>
      <c r="Y15" s="19"/>
      <c r="Z15" s="19"/>
      <c r="AA15" s="19"/>
      <c r="AB15" s="24" t="s">
        <v>1</v>
      </c>
      <c r="AC15" s="2">
        <f t="shared" ca="1" si="8"/>
        <v>10</v>
      </c>
      <c r="AD15" s="2" t="str">
        <f t="shared" ca="1" si="9"/>
        <v>Llamado de atencion</v>
      </c>
      <c r="AE15" s="19"/>
      <c r="AF15" s="19"/>
      <c r="AG15" s="19"/>
      <c r="AH15" s="19"/>
      <c r="AI15" s="19"/>
      <c r="AJ15" s="19"/>
      <c r="AK15" s="19"/>
      <c r="AL15" s="19"/>
      <c r="AM15" s="19"/>
    </row>
    <row r="16" spans="1:39" x14ac:dyDescent="0.25">
      <c r="A16" s="19"/>
      <c r="B16" s="26" t="s">
        <v>2</v>
      </c>
      <c r="C16" s="2">
        <f t="shared" ca="1" si="0"/>
        <v>4</v>
      </c>
      <c r="D16" s="2" t="str">
        <f t="shared" ca="1" si="1"/>
        <v>Reprobo</v>
      </c>
      <c r="E16" s="19"/>
      <c r="F16" s="19"/>
      <c r="G16" s="19"/>
      <c r="H16" s="9" t="s">
        <v>11</v>
      </c>
      <c r="I16" s="9"/>
      <c r="J16" s="2">
        <f t="shared" ca="1" si="2"/>
        <v>105</v>
      </c>
      <c r="K16" s="2" t="str">
        <f t="shared" ca="1" si="3"/>
        <v>Bajo</v>
      </c>
      <c r="L16" s="19"/>
      <c r="M16" s="19"/>
      <c r="N16" s="19"/>
      <c r="O16" s="9" t="s">
        <v>12</v>
      </c>
      <c r="P16" s="9"/>
      <c r="Q16" s="2">
        <f t="shared" ca="1" si="4"/>
        <v>468</v>
      </c>
      <c r="R16" s="2" t="str">
        <f t="shared" ca="1" si="5"/>
        <v>Alto, credito aprobado</v>
      </c>
      <c r="S16" s="19"/>
      <c r="T16" s="19"/>
      <c r="U16" s="19"/>
      <c r="V16" s="26" t="s">
        <v>2</v>
      </c>
      <c r="W16" s="2">
        <f t="shared" ca="1" si="6"/>
        <v>20</v>
      </c>
      <c r="X16" s="2" t="str">
        <f t="shared" ca="1" si="7"/>
        <v>Pago en espera</v>
      </c>
      <c r="Y16" s="19"/>
      <c r="Z16" s="19"/>
      <c r="AA16" s="19"/>
      <c r="AB16" s="26" t="s">
        <v>2</v>
      </c>
      <c r="AC16" s="2">
        <f t="shared" ca="1" si="8"/>
        <v>4</v>
      </c>
      <c r="AD16" s="2" t="str">
        <f t="shared" ca="1" si="9"/>
        <v>No hay problema</v>
      </c>
      <c r="AE16" s="19"/>
      <c r="AF16" s="19"/>
      <c r="AG16" s="19"/>
      <c r="AH16" s="19"/>
      <c r="AI16" s="19"/>
      <c r="AJ16" s="19"/>
      <c r="AK16" s="19"/>
      <c r="AL16" s="19"/>
      <c r="AM16" s="19"/>
    </row>
    <row r="17" spans="1:39" x14ac:dyDescent="0.25">
      <c r="A17" s="19"/>
      <c r="B17" s="24" t="s">
        <v>2</v>
      </c>
      <c r="C17" s="2">
        <f t="shared" ca="1" si="0"/>
        <v>4</v>
      </c>
      <c r="D17" s="2" t="str">
        <f t="shared" ca="1" si="1"/>
        <v>Reprobo</v>
      </c>
      <c r="E17" s="19"/>
      <c r="F17" s="19"/>
      <c r="G17" s="19"/>
      <c r="H17" s="9" t="s">
        <v>12</v>
      </c>
      <c r="I17" s="9"/>
      <c r="J17" s="2">
        <f t="shared" ca="1" si="2"/>
        <v>122</v>
      </c>
      <c r="K17" s="2" t="str">
        <f t="shared" ca="1" si="3"/>
        <v>Alto</v>
      </c>
      <c r="L17" s="19"/>
      <c r="M17" s="19"/>
      <c r="N17" s="19"/>
      <c r="O17" s="9" t="s">
        <v>13</v>
      </c>
      <c r="P17" s="9"/>
      <c r="Q17" s="2">
        <f t="shared" ca="1" si="4"/>
        <v>466</v>
      </c>
      <c r="R17" s="2" t="str">
        <f t="shared" ca="1" si="5"/>
        <v>Alto, credito aprobado</v>
      </c>
      <c r="S17" s="19"/>
      <c r="T17" s="19"/>
      <c r="U17" s="19"/>
      <c r="V17" s="24" t="s">
        <v>2</v>
      </c>
      <c r="W17" s="2">
        <f t="shared" ca="1" si="6"/>
        <v>58</v>
      </c>
      <c r="X17" s="2" t="str">
        <f t="shared" ca="1" si="7"/>
        <v>Cuenta en Mora</v>
      </c>
      <c r="Y17" s="19"/>
      <c r="Z17" s="19"/>
      <c r="AA17" s="19"/>
      <c r="AB17" s="24" t="s">
        <v>0</v>
      </c>
      <c r="AC17" s="2">
        <f t="shared" ca="1" si="8"/>
        <v>6</v>
      </c>
      <c r="AD17" s="2" t="str">
        <f t="shared" ca="1" si="9"/>
        <v>Llamado de atencion</v>
      </c>
      <c r="AE17" s="19"/>
      <c r="AF17" s="19"/>
      <c r="AG17" s="19"/>
      <c r="AH17" s="19"/>
      <c r="AI17" s="19"/>
      <c r="AJ17" s="19"/>
      <c r="AK17" s="19"/>
      <c r="AL17" s="19"/>
      <c r="AM17" s="19"/>
    </row>
    <row r="18" spans="1:39" x14ac:dyDescent="0.25">
      <c r="A18" s="19"/>
      <c r="B18" s="26" t="s">
        <v>2</v>
      </c>
      <c r="C18" s="2">
        <f t="shared" ca="1" si="0"/>
        <v>4</v>
      </c>
      <c r="D18" s="2" t="str">
        <f t="shared" ca="1" si="1"/>
        <v>Reprobo</v>
      </c>
      <c r="E18" s="19"/>
      <c r="F18" s="19"/>
      <c r="G18" s="19"/>
      <c r="H18" s="9" t="s">
        <v>13</v>
      </c>
      <c r="I18" s="9"/>
      <c r="J18" s="2">
        <f t="shared" ca="1" si="2"/>
        <v>72</v>
      </c>
      <c r="K18" s="2" t="str">
        <f t="shared" ca="1" si="3"/>
        <v>Bajo</v>
      </c>
      <c r="L18" s="19"/>
      <c r="M18" s="19"/>
      <c r="N18" s="19"/>
      <c r="O18" s="9" t="s">
        <v>10</v>
      </c>
      <c r="P18" s="9"/>
      <c r="Q18" s="2">
        <f t="shared" ca="1" si="4"/>
        <v>372</v>
      </c>
      <c r="R18" s="2" t="str">
        <f t="shared" ca="1" si="5"/>
        <v>Alto, credito aprobado</v>
      </c>
      <c r="S18" s="19"/>
      <c r="T18" s="19"/>
      <c r="U18" s="19"/>
      <c r="V18" s="26" t="s">
        <v>2</v>
      </c>
      <c r="W18" s="2">
        <f t="shared" ca="1" si="6"/>
        <v>62</v>
      </c>
      <c r="X18" s="2" t="str">
        <f t="shared" ca="1" si="7"/>
        <v>Cuenta en Mora</v>
      </c>
      <c r="Y18" s="19"/>
      <c r="Z18" s="19"/>
      <c r="AA18" s="19"/>
      <c r="AB18" s="26" t="s">
        <v>1</v>
      </c>
      <c r="AC18" s="2">
        <f t="shared" ca="1" si="8"/>
        <v>1</v>
      </c>
      <c r="AD18" s="2" t="str">
        <f t="shared" ca="1" si="9"/>
        <v>No hay problema</v>
      </c>
      <c r="AE18" s="19"/>
      <c r="AF18" s="19"/>
      <c r="AG18" s="19"/>
      <c r="AH18" s="19"/>
      <c r="AI18" s="19"/>
      <c r="AJ18" s="19"/>
      <c r="AK18" s="19"/>
      <c r="AL18" s="19"/>
      <c r="AM18" s="19"/>
    </row>
    <row r="19" spans="1:39" x14ac:dyDescent="0.25">
      <c r="A19" s="19"/>
      <c r="B19" s="24" t="s">
        <v>1</v>
      </c>
      <c r="C19" s="2">
        <f t="shared" ca="1" si="0"/>
        <v>5</v>
      </c>
      <c r="D19" s="2" t="str">
        <f t="shared" ca="1" si="1"/>
        <v>Aprobo</v>
      </c>
      <c r="E19" s="19"/>
      <c r="F19" s="19"/>
      <c r="G19" s="19"/>
      <c r="H19" s="9" t="s">
        <v>10</v>
      </c>
      <c r="I19" s="9"/>
      <c r="J19" s="2">
        <f t="shared" ca="1" si="2"/>
        <v>81</v>
      </c>
      <c r="K19" s="2" t="str">
        <f t="shared" ca="1" si="3"/>
        <v>Bajo</v>
      </c>
      <c r="L19" s="19"/>
      <c r="M19" s="19"/>
      <c r="N19" s="19"/>
      <c r="O19" s="9" t="s">
        <v>11</v>
      </c>
      <c r="P19" s="9"/>
      <c r="Q19" s="2">
        <f t="shared" ca="1" si="4"/>
        <v>484</v>
      </c>
      <c r="R19" s="2" t="str">
        <f t="shared" ca="1" si="5"/>
        <v>Alto, credito aprobado</v>
      </c>
      <c r="S19" s="19"/>
      <c r="T19" s="19"/>
      <c r="U19" s="19"/>
      <c r="V19" s="24" t="s">
        <v>1</v>
      </c>
      <c r="W19" s="2">
        <f t="shared" ca="1" si="6"/>
        <v>43</v>
      </c>
      <c r="X19" s="2" t="str">
        <f t="shared" ca="1" si="7"/>
        <v>Cuenta en Mora</v>
      </c>
      <c r="Y19" s="19"/>
      <c r="Z19" s="19"/>
      <c r="AA19" s="19"/>
      <c r="AB19" s="24" t="s">
        <v>2</v>
      </c>
      <c r="AC19" s="2">
        <f t="shared" ca="1" si="8"/>
        <v>10</v>
      </c>
      <c r="AD19" s="2" t="str">
        <f t="shared" ca="1" si="9"/>
        <v>Llamado de atencion</v>
      </c>
      <c r="AE19" s="19"/>
      <c r="AF19" s="19"/>
      <c r="AG19" s="19"/>
      <c r="AH19" s="19"/>
      <c r="AI19" s="19"/>
      <c r="AJ19" s="19"/>
      <c r="AK19" s="19"/>
      <c r="AL19" s="19"/>
      <c r="AM19" s="19"/>
    </row>
    <row r="20" spans="1:39" x14ac:dyDescent="0.25">
      <c r="A20" s="19"/>
      <c r="B20" s="26" t="s">
        <v>4</v>
      </c>
      <c r="C20" s="2">
        <f t="shared" ca="1" si="0"/>
        <v>5</v>
      </c>
      <c r="D20" s="2" t="str">
        <f t="shared" ca="1" si="1"/>
        <v>Aprobo</v>
      </c>
      <c r="E20" s="19"/>
      <c r="F20" s="19"/>
      <c r="G20" s="19"/>
      <c r="H20" s="9" t="s">
        <v>11</v>
      </c>
      <c r="I20" s="9"/>
      <c r="J20" s="2">
        <f t="shared" ca="1" si="2"/>
        <v>121</v>
      </c>
      <c r="K20" s="2" t="str">
        <f t="shared" ca="1" si="3"/>
        <v>Alto</v>
      </c>
      <c r="L20" s="19"/>
      <c r="M20" s="19"/>
      <c r="N20" s="19"/>
      <c r="O20" s="9" t="s">
        <v>12</v>
      </c>
      <c r="P20" s="9"/>
      <c r="Q20" s="2">
        <f t="shared" ca="1" si="4"/>
        <v>265</v>
      </c>
      <c r="R20" s="2" t="str">
        <f t="shared" ca="1" si="5"/>
        <v>Alto, credito aprobado</v>
      </c>
      <c r="S20" s="19"/>
      <c r="T20" s="19"/>
      <c r="U20" s="19"/>
      <c r="V20" s="26" t="s">
        <v>4</v>
      </c>
      <c r="W20" s="2">
        <f t="shared" ca="1" si="6"/>
        <v>43</v>
      </c>
      <c r="X20" s="2" t="str">
        <f t="shared" ca="1" si="7"/>
        <v>Cuenta en Mora</v>
      </c>
      <c r="Y20" s="19"/>
      <c r="Z20" s="19"/>
      <c r="AA20" s="19"/>
      <c r="AB20" s="26" t="s">
        <v>1</v>
      </c>
      <c r="AC20" s="2">
        <f t="shared" ca="1" si="8"/>
        <v>1</v>
      </c>
      <c r="AD20" s="2" t="str">
        <f t="shared" ca="1" si="9"/>
        <v>No hay problema</v>
      </c>
      <c r="AE20" s="19"/>
      <c r="AF20" s="19"/>
      <c r="AG20" s="19"/>
      <c r="AH20" s="19"/>
      <c r="AI20" s="19"/>
      <c r="AJ20" s="19"/>
      <c r="AK20" s="19"/>
      <c r="AL20" s="19"/>
      <c r="AM20" s="19"/>
    </row>
    <row r="21" spans="1:39" x14ac:dyDescent="0.25">
      <c r="A21" s="19"/>
      <c r="B21" s="24" t="s">
        <v>0</v>
      </c>
      <c r="C21" s="2">
        <f t="shared" ca="1" si="0"/>
        <v>5</v>
      </c>
      <c r="D21" s="2" t="str">
        <f t="shared" ca="1" si="1"/>
        <v>Aprobo</v>
      </c>
      <c r="E21" s="19"/>
      <c r="F21" s="19"/>
      <c r="G21" s="19"/>
      <c r="H21" s="9" t="s">
        <v>12</v>
      </c>
      <c r="I21" s="9"/>
      <c r="J21" s="2">
        <f t="shared" ca="1" si="2"/>
        <v>194</v>
      </c>
      <c r="K21" s="2" t="str">
        <f t="shared" ca="1" si="3"/>
        <v>Alto</v>
      </c>
      <c r="L21" s="19"/>
      <c r="M21" s="19"/>
      <c r="N21" s="19"/>
      <c r="O21" s="9" t="s">
        <v>13</v>
      </c>
      <c r="P21" s="9"/>
      <c r="Q21" s="2">
        <f t="shared" ca="1" si="4"/>
        <v>329</v>
      </c>
      <c r="R21" s="2" t="str">
        <f t="shared" ca="1" si="5"/>
        <v>Alto, credito aprobado</v>
      </c>
      <c r="S21" s="19"/>
      <c r="T21" s="19"/>
      <c r="U21" s="19"/>
      <c r="V21" s="24" t="s">
        <v>0</v>
      </c>
      <c r="W21" s="2">
        <f t="shared" ca="1" si="6"/>
        <v>42</v>
      </c>
      <c r="X21" s="2" t="str">
        <f t="shared" ca="1" si="7"/>
        <v>Cuenta en Mora</v>
      </c>
      <c r="Y21" s="19"/>
      <c r="Z21" s="19"/>
      <c r="AA21" s="19"/>
      <c r="AB21" s="24" t="s">
        <v>3</v>
      </c>
      <c r="AC21" s="2">
        <f t="shared" ca="1" si="8"/>
        <v>6</v>
      </c>
      <c r="AD21" s="2" t="str">
        <f t="shared" ca="1" si="9"/>
        <v>Llamado de atencion</v>
      </c>
      <c r="AE21" s="19"/>
      <c r="AF21" s="19"/>
      <c r="AG21" s="19"/>
      <c r="AH21" s="19"/>
      <c r="AI21" s="19"/>
      <c r="AJ21" s="19"/>
      <c r="AK21" s="19"/>
      <c r="AL21" s="19"/>
      <c r="AM21" s="19"/>
    </row>
    <row r="22" spans="1:39" x14ac:dyDescent="0.25">
      <c r="A22" s="19"/>
      <c r="B22" s="26" t="s">
        <v>2</v>
      </c>
      <c r="C22" s="2">
        <f t="shared" ca="1" si="0"/>
        <v>4</v>
      </c>
      <c r="D22" s="2" t="str">
        <f t="shared" ca="1" si="1"/>
        <v>Reprobo</v>
      </c>
      <c r="E22" s="19"/>
      <c r="F22" s="19"/>
      <c r="G22" s="19"/>
      <c r="H22" s="9" t="s">
        <v>13</v>
      </c>
      <c r="I22" s="9"/>
      <c r="J22" s="2">
        <f t="shared" ca="1" si="2"/>
        <v>98</v>
      </c>
      <c r="K22" s="2" t="str">
        <f t="shared" ca="1" si="3"/>
        <v>Bajo</v>
      </c>
      <c r="L22" s="19"/>
      <c r="M22" s="19"/>
      <c r="N22" s="19"/>
      <c r="O22" s="9" t="s">
        <v>10</v>
      </c>
      <c r="P22" s="9"/>
      <c r="Q22" s="2">
        <f t="shared" ca="1" si="4"/>
        <v>337</v>
      </c>
      <c r="R22" s="2" t="str">
        <f t="shared" ca="1" si="5"/>
        <v>Alto, credito aprobado</v>
      </c>
      <c r="S22" s="19"/>
      <c r="T22" s="19"/>
      <c r="U22" s="19"/>
      <c r="V22" s="26" t="s">
        <v>2</v>
      </c>
      <c r="W22" s="2">
        <f t="shared" ca="1" si="6"/>
        <v>10</v>
      </c>
      <c r="X22" s="2" t="str">
        <f t="shared" ca="1" si="7"/>
        <v>Pago en espera</v>
      </c>
      <c r="Y22" s="19"/>
      <c r="Z22" s="19"/>
      <c r="AA22" s="19"/>
      <c r="AB22" s="26" t="s">
        <v>2</v>
      </c>
      <c r="AC22" s="2">
        <f t="shared" ca="1" si="8"/>
        <v>2</v>
      </c>
      <c r="AD22" s="2" t="str">
        <f t="shared" ca="1" si="9"/>
        <v>No hay problema</v>
      </c>
      <c r="AE22" s="19"/>
      <c r="AF22" s="19"/>
      <c r="AG22" s="19"/>
      <c r="AH22" s="19"/>
      <c r="AI22" s="19"/>
      <c r="AJ22" s="19"/>
      <c r="AK22" s="19"/>
      <c r="AL22" s="19"/>
      <c r="AM22" s="19"/>
    </row>
    <row r="23" spans="1:39" x14ac:dyDescent="0.25">
      <c r="A23" s="19"/>
      <c r="B23" s="24" t="s">
        <v>0</v>
      </c>
      <c r="C23" s="2">
        <f t="shared" ca="1" si="0"/>
        <v>5</v>
      </c>
      <c r="D23" s="2" t="str">
        <f t="shared" ca="1" si="1"/>
        <v>Aprobo</v>
      </c>
      <c r="E23" s="19"/>
      <c r="F23" s="19"/>
      <c r="G23" s="19"/>
      <c r="H23" s="9" t="s">
        <v>10</v>
      </c>
      <c r="I23" s="9"/>
      <c r="J23" s="2">
        <f t="shared" ca="1" si="2"/>
        <v>96</v>
      </c>
      <c r="K23" s="2" t="str">
        <f t="shared" ca="1" si="3"/>
        <v>Bajo</v>
      </c>
      <c r="L23" s="19"/>
      <c r="M23" s="19"/>
      <c r="N23" s="19"/>
      <c r="O23" s="9" t="s">
        <v>11</v>
      </c>
      <c r="P23" s="9"/>
      <c r="Q23" s="2">
        <f t="shared" ca="1" si="4"/>
        <v>175</v>
      </c>
      <c r="R23" s="2" t="str">
        <f t="shared" ca="1" si="5"/>
        <v>Bajo, No aprueba</v>
      </c>
      <c r="S23" s="19"/>
      <c r="T23" s="19"/>
      <c r="U23" s="19"/>
      <c r="V23" s="24" t="s">
        <v>0</v>
      </c>
      <c r="W23" s="2">
        <f t="shared" ca="1" si="6"/>
        <v>15</v>
      </c>
      <c r="X23" s="2" t="str">
        <f t="shared" ca="1" si="7"/>
        <v>Pago en espera</v>
      </c>
      <c r="Y23" s="19"/>
      <c r="Z23" s="19"/>
      <c r="AA23" s="19"/>
      <c r="AB23" s="24" t="s">
        <v>3</v>
      </c>
      <c r="AC23" s="2">
        <f t="shared" ca="1" si="8"/>
        <v>9</v>
      </c>
      <c r="AD23" s="2" t="str">
        <f t="shared" ca="1" si="9"/>
        <v>Llamado de atencion</v>
      </c>
      <c r="AE23" s="19"/>
      <c r="AF23" s="19"/>
      <c r="AG23" s="19"/>
      <c r="AH23" s="19"/>
      <c r="AI23" s="19"/>
      <c r="AJ23" s="19"/>
      <c r="AK23" s="19"/>
      <c r="AL23" s="19"/>
      <c r="AM23" s="19"/>
    </row>
    <row r="24" spans="1:39" x14ac:dyDescent="0.25">
      <c r="A24" s="19"/>
      <c r="B24" s="26" t="s">
        <v>0</v>
      </c>
      <c r="C24" s="2">
        <f t="shared" ca="1" si="0"/>
        <v>4</v>
      </c>
      <c r="D24" s="2" t="str">
        <f t="shared" ca="1" si="1"/>
        <v>Reprobo</v>
      </c>
      <c r="E24" s="19"/>
      <c r="F24" s="19"/>
      <c r="G24" s="19"/>
      <c r="H24" s="9" t="s">
        <v>11</v>
      </c>
      <c r="I24" s="9"/>
      <c r="J24" s="2">
        <f t="shared" ca="1" si="2"/>
        <v>121</v>
      </c>
      <c r="K24" s="2" t="str">
        <f t="shared" ca="1" si="3"/>
        <v>Alto</v>
      </c>
      <c r="L24" s="19"/>
      <c r="M24" s="19"/>
      <c r="N24" s="19"/>
      <c r="O24" s="9" t="s">
        <v>12</v>
      </c>
      <c r="P24" s="9"/>
      <c r="Q24" s="2">
        <f t="shared" ca="1" si="4"/>
        <v>454</v>
      </c>
      <c r="R24" s="2" t="str">
        <f t="shared" ca="1" si="5"/>
        <v>Alto, credito aprobado</v>
      </c>
      <c r="S24" s="19"/>
      <c r="T24" s="19"/>
      <c r="U24" s="19"/>
      <c r="V24" s="26" t="s">
        <v>0</v>
      </c>
      <c r="W24" s="2">
        <f t="shared" ca="1" si="6"/>
        <v>58</v>
      </c>
      <c r="X24" s="2" t="str">
        <f t="shared" ca="1" si="7"/>
        <v>Cuenta en Mora</v>
      </c>
      <c r="Y24" s="19"/>
      <c r="Z24" s="19"/>
      <c r="AA24" s="19"/>
      <c r="AB24" s="26" t="s">
        <v>3</v>
      </c>
      <c r="AC24" s="2">
        <f t="shared" ca="1" si="8"/>
        <v>9</v>
      </c>
      <c r="AD24" s="2" t="str">
        <f t="shared" ca="1" si="9"/>
        <v>Llamado de atencion</v>
      </c>
      <c r="AE24" s="19"/>
      <c r="AF24" s="19"/>
      <c r="AG24" s="19"/>
      <c r="AH24" s="19"/>
      <c r="AI24" s="19"/>
      <c r="AJ24" s="19"/>
      <c r="AK24" s="19"/>
      <c r="AL24" s="19"/>
      <c r="AM24" s="19"/>
    </row>
    <row r="25" spans="1:39" x14ac:dyDescent="0.25">
      <c r="A25" s="19"/>
      <c r="B25" s="24" t="s">
        <v>0</v>
      </c>
      <c r="C25" s="2">
        <f t="shared" ca="1" si="0"/>
        <v>4</v>
      </c>
      <c r="D25" s="2" t="str">
        <f t="shared" ca="1" si="1"/>
        <v>Reprobo</v>
      </c>
      <c r="E25" s="19"/>
      <c r="F25" s="19"/>
      <c r="G25" s="19"/>
      <c r="H25" s="9" t="s">
        <v>12</v>
      </c>
      <c r="I25" s="9"/>
      <c r="J25" s="2">
        <f t="shared" ca="1" si="2"/>
        <v>196</v>
      </c>
      <c r="K25" s="2" t="str">
        <f t="shared" ca="1" si="3"/>
        <v>Alto</v>
      </c>
      <c r="L25" s="19"/>
      <c r="M25" s="19"/>
      <c r="N25" s="19"/>
      <c r="O25" s="9" t="s">
        <v>13</v>
      </c>
      <c r="P25" s="9"/>
      <c r="Q25" s="2">
        <f t="shared" ca="1" si="4"/>
        <v>103</v>
      </c>
      <c r="R25" s="2" t="str">
        <f t="shared" ca="1" si="5"/>
        <v>Bajo, No aprueba</v>
      </c>
      <c r="S25" s="19"/>
      <c r="T25" s="19"/>
      <c r="U25" s="19"/>
      <c r="V25" s="24" t="s">
        <v>0</v>
      </c>
      <c r="W25" s="2">
        <f t="shared" ca="1" si="6"/>
        <v>38</v>
      </c>
      <c r="X25" s="2" t="str">
        <f t="shared" ca="1" si="7"/>
        <v>Cuenta en Mora</v>
      </c>
      <c r="Y25" s="19"/>
      <c r="Z25" s="19"/>
      <c r="AA25" s="19"/>
      <c r="AB25" s="24" t="s">
        <v>1</v>
      </c>
      <c r="AC25" s="2">
        <f t="shared" ca="1" si="8"/>
        <v>9</v>
      </c>
      <c r="AD25" s="2" t="str">
        <f t="shared" ca="1" si="9"/>
        <v>Llamado de atencion</v>
      </c>
      <c r="AE25" s="19"/>
      <c r="AF25" s="19"/>
      <c r="AG25" s="19"/>
      <c r="AH25" s="19"/>
      <c r="AI25" s="19"/>
      <c r="AJ25" s="19"/>
      <c r="AK25" s="19"/>
      <c r="AL25" s="19"/>
      <c r="AM25" s="19"/>
    </row>
    <row r="26" spans="1:39" x14ac:dyDescent="0.25">
      <c r="A26" s="19"/>
      <c r="B26" s="26" t="s">
        <v>1</v>
      </c>
      <c r="C26" s="2">
        <f t="shared" ca="1" si="0"/>
        <v>4</v>
      </c>
      <c r="D26" s="2" t="str">
        <f t="shared" ca="1" si="1"/>
        <v>Reprobo</v>
      </c>
      <c r="E26" s="19"/>
      <c r="F26" s="19"/>
      <c r="G26" s="19"/>
      <c r="H26" s="9" t="s">
        <v>13</v>
      </c>
      <c r="I26" s="9"/>
      <c r="J26" s="2">
        <f t="shared" ca="1" si="2"/>
        <v>102</v>
      </c>
      <c r="K26" s="2" t="str">
        <f t="shared" ca="1" si="3"/>
        <v>Bajo</v>
      </c>
      <c r="L26" s="19"/>
      <c r="M26" s="19"/>
      <c r="N26" s="19"/>
      <c r="O26" s="9" t="s">
        <v>10</v>
      </c>
      <c r="P26" s="9"/>
      <c r="Q26" s="2">
        <f t="shared" ca="1" si="4"/>
        <v>125</v>
      </c>
      <c r="R26" s="2" t="str">
        <f t="shared" ca="1" si="5"/>
        <v>Bajo, No aprueba</v>
      </c>
      <c r="S26" s="19"/>
      <c r="T26" s="19"/>
      <c r="U26" s="19"/>
      <c r="V26" s="26" t="s">
        <v>1</v>
      </c>
      <c r="W26" s="2">
        <f t="shared" ca="1" si="6"/>
        <v>25</v>
      </c>
      <c r="X26" s="2" t="str">
        <f t="shared" ca="1" si="7"/>
        <v>Pago en espera</v>
      </c>
      <c r="Y26" s="19"/>
      <c r="Z26" s="19"/>
      <c r="AA26" s="19"/>
      <c r="AB26" s="26" t="s">
        <v>2</v>
      </c>
      <c r="AC26" s="2">
        <f t="shared" ca="1" si="8"/>
        <v>2</v>
      </c>
      <c r="AD26" s="2" t="str">
        <f t="shared" ca="1" si="9"/>
        <v>No hay problema</v>
      </c>
      <c r="AE26" s="19"/>
      <c r="AF26" s="19"/>
      <c r="AG26" s="19"/>
      <c r="AH26" s="19"/>
      <c r="AI26" s="19"/>
      <c r="AJ26" s="19"/>
      <c r="AK26" s="19"/>
      <c r="AL26" s="19"/>
      <c r="AM26" s="19"/>
    </row>
    <row r="27" spans="1:39" x14ac:dyDescent="0.25">
      <c r="A27" s="19"/>
      <c r="B27" s="24" t="s">
        <v>4</v>
      </c>
      <c r="C27" s="2">
        <f t="shared" ca="1" si="0"/>
        <v>4</v>
      </c>
      <c r="D27" s="2" t="str">
        <f t="shared" ca="1" si="1"/>
        <v>Reprobo</v>
      </c>
      <c r="E27" s="19"/>
      <c r="F27" s="19"/>
      <c r="G27" s="19"/>
      <c r="H27" s="9" t="s">
        <v>10</v>
      </c>
      <c r="I27" s="9"/>
      <c r="J27" s="2">
        <f t="shared" ca="1" si="2"/>
        <v>88</v>
      </c>
      <c r="K27" s="2" t="str">
        <f t="shared" ca="1" si="3"/>
        <v>Bajo</v>
      </c>
      <c r="L27" s="19"/>
      <c r="M27" s="19"/>
      <c r="N27" s="19"/>
      <c r="O27" s="9" t="s">
        <v>11</v>
      </c>
      <c r="P27" s="9"/>
      <c r="Q27" s="2">
        <f t="shared" ca="1" si="4"/>
        <v>388</v>
      </c>
      <c r="R27" s="2" t="str">
        <f t="shared" ca="1" si="5"/>
        <v>Alto, credito aprobado</v>
      </c>
      <c r="S27" s="19"/>
      <c r="T27" s="19"/>
      <c r="U27" s="19"/>
      <c r="V27" s="24" t="s">
        <v>4</v>
      </c>
      <c r="W27" s="2">
        <f t="shared" ca="1" si="6"/>
        <v>36</v>
      </c>
      <c r="X27" s="2" t="str">
        <f t="shared" ca="1" si="7"/>
        <v>Cuenta en Mora</v>
      </c>
      <c r="Y27" s="19"/>
      <c r="Z27" s="19"/>
      <c r="AA27" s="19"/>
      <c r="AB27" s="24" t="s">
        <v>0</v>
      </c>
      <c r="AC27" s="2">
        <f t="shared" ca="1" si="8"/>
        <v>10</v>
      </c>
      <c r="AD27" s="2" t="str">
        <f t="shared" ca="1" si="9"/>
        <v>Llamado de atencion</v>
      </c>
      <c r="AE27" s="19"/>
      <c r="AF27" s="19"/>
      <c r="AG27" s="19"/>
      <c r="AH27" s="19"/>
      <c r="AI27" s="19"/>
      <c r="AJ27" s="19"/>
      <c r="AK27" s="19"/>
      <c r="AL27" s="19"/>
      <c r="AM27" s="19"/>
    </row>
    <row r="28" spans="1:39" x14ac:dyDescent="0.25">
      <c r="A28" s="19"/>
      <c r="B28" s="26" t="s">
        <v>2</v>
      </c>
      <c r="C28" s="2">
        <f t="shared" ca="1" si="0"/>
        <v>4</v>
      </c>
      <c r="D28" s="2" t="str">
        <f t="shared" ca="1" si="1"/>
        <v>Reprobo</v>
      </c>
      <c r="E28" s="19"/>
      <c r="F28" s="19"/>
      <c r="G28" s="19"/>
      <c r="H28" s="9" t="s">
        <v>11</v>
      </c>
      <c r="I28" s="9"/>
      <c r="J28" s="2">
        <f t="shared" ca="1" si="2"/>
        <v>183</v>
      </c>
      <c r="K28" s="2" t="str">
        <f t="shared" ca="1" si="3"/>
        <v>Alto</v>
      </c>
      <c r="L28" s="19"/>
      <c r="M28" s="19"/>
      <c r="N28" s="19"/>
      <c r="O28" s="9" t="s">
        <v>12</v>
      </c>
      <c r="P28" s="9"/>
      <c r="Q28" s="2">
        <f t="shared" ca="1" si="4"/>
        <v>193</v>
      </c>
      <c r="R28" s="2" t="str">
        <f t="shared" ca="1" si="5"/>
        <v>Bajo, No aprueba</v>
      </c>
      <c r="S28" s="19"/>
      <c r="T28" s="19"/>
      <c r="U28" s="19"/>
      <c r="V28" s="26" t="s">
        <v>2</v>
      </c>
      <c r="W28" s="2">
        <f t="shared" ca="1" si="6"/>
        <v>36</v>
      </c>
      <c r="X28" s="2" t="str">
        <f t="shared" ca="1" si="7"/>
        <v>Cuenta en Mora</v>
      </c>
      <c r="Y28" s="19"/>
      <c r="Z28" s="19"/>
      <c r="AA28" s="19"/>
      <c r="AB28" s="26" t="s">
        <v>1</v>
      </c>
      <c r="AC28" s="2">
        <f t="shared" ca="1" si="8"/>
        <v>9</v>
      </c>
      <c r="AD28" s="2" t="str">
        <f t="shared" ca="1" si="9"/>
        <v>Llamado de atencion</v>
      </c>
      <c r="AE28" s="19"/>
      <c r="AF28" s="19"/>
      <c r="AG28" s="19"/>
      <c r="AH28" s="19"/>
      <c r="AI28" s="19"/>
      <c r="AJ28" s="19"/>
      <c r="AK28" s="19"/>
      <c r="AL28" s="19"/>
      <c r="AM28" s="19"/>
    </row>
    <row r="29" spans="1:39" x14ac:dyDescent="0.25">
      <c r="A29" s="19"/>
      <c r="B29" s="24" t="s">
        <v>2</v>
      </c>
      <c r="C29" s="2">
        <f t="shared" ca="1" si="0"/>
        <v>4</v>
      </c>
      <c r="D29" s="2" t="str">
        <f t="shared" ca="1" si="1"/>
        <v>Reprobo</v>
      </c>
      <c r="E29" s="19"/>
      <c r="F29" s="19"/>
      <c r="G29" s="19"/>
      <c r="H29" s="9" t="s">
        <v>12</v>
      </c>
      <c r="I29" s="9"/>
      <c r="J29" s="2">
        <f t="shared" ca="1" si="2"/>
        <v>81</v>
      </c>
      <c r="K29" s="2" t="str">
        <f t="shared" ca="1" si="3"/>
        <v>Bajo</v>
      </c>
      <c r="L29" s="19"/>
      <c r="M29" s="19"/>
      <c r="N29" s="19"/>
      <c r="O29" s="9" t="s">
        <v>13</v>
      </c>
      <c r="P29" s="9"/>
      <c r="Q29" s="2">
        <f t="shared" ca="1" si="4"/>
        <v>430</v>
      </c>
      <c r="R29" s="2" t="str">
        <f ca="1">IF(Q29&lt;250,"Bajo, No aprueba","Alto, credito aprobado")</f>
        <v>Alto, credito aprobado</v>
      </c>
      <c r="S29" s="19"/>
      <c r="T29" s="19"/>
      <c r="U29" s="19"/>
      <c r="V29" s="24" t="s">
        <v>2</v>
      </c>
      <c r="W29" s="2">
        <f t="shared" ca="1" si="6"/>
        <v>63</v>
      </c>
      <c r="X29" s="2" t="str">
        <f t="shared" ca="1" si="7"/>
        <v>Cuenta en Mora</v>
      </c>
      <c r="Y29" s="19"/>
      <c r="Z29" s="19"/>
      <c r="AA29" s="19"/>
      <c r="AB29" s="24" t="s">
        <v>2</v>
      </c>
      <c r="AC29" s="2">
        <f t="shared" ca="1" si="8"/>
        <v>6</v>
      </c>
      <c r="AD29" s="2" t="str">
        <f t="shared" ca="1" si="9"/>
        <v>Llamado de atencion</v>
      </c>
      <c r="AE29" s="19"/>
      <c r="AF29" s="19"/>
      <c r="AG29" s="19"/>
      <c r="AH29" s="19"/>
      <c r="AI29" s="19"/>
      <c r="AJ29" s="19"/>
      <c r="AK29" s="19"/>
      <c r="AL29" s="19"/>
      <c r="AM29" s="19"/>
    </row>
    <row r="30" spans="1:39" x14ac:dyDescent="0.25">
      <c r="A30" s="19"/>
      <c r="B30" s="26" t="s">
        <v>3</v>
      </c>
      <c r="C30" s="2">
        <f t="shared" ca="1" si="0"/>
        <v>5</v>
      </c>
      <c r="D30" s="2" t="str">
        <f t="shared" ca="1" si="1"/>
        <v>Aprobo</v>
      </c>
      <c r="E30" s="19"/>
      <c r="F30" s="19"/>
      <c r="G30" s="19"/>
      <c r="H30" s="9" t="s">
        <v>13</v>
      </c>
      <c r="I30" s="9"/>
      <c r="J30" s="2">
        <f t="shared" ca="1" si="2"/>
        <v>92</v>
      </c>
      <c r="K30" s="2" t="str">
        <f t="shared" ca="1" si="3"/>
        <v>Bajo</v>
      </c>
      <c r="L30" s="19"/>
      <c r="M30" s="19"/>
      <c r="N30" s="19"/>
      <c r="O30" s="9" t="s">
        <v>13</v>
      </c>
      <c r="P30" s="9"/>
      <c r="Q30" s="2">
        <f t="shared" ca="1" si="4"/>
        <v>275</v>
      </c>
      <c r="R30" s="2" t="str">
        <f ca="1">IF(Q30&lt;250,"Bajo, No aprueba","Alto, credito aprobado")</f>
        <v>Alto, credito aprobado</v>
      </c>
      <c r="S30" s="19"/>
      <c r="T30" s="19"/>
      <c r="U30" s="19"/>
      <c r="V30" s="26" t="s">
        <v>3</v>
      </c>
      <c r="W30" s="2">
        <f t="shared" ca="1" si="6"/>
        <v>11</v>
      </c>
      <c r="X30" s="2" t="str">
        <f t="shared" ca="1" si="7"/>
        <v>Pago en espera</v>
      </c>
      <c r="Y30" s="19"/>
      <c r="Z30" s="19"/>
      <c r="AA30" s="19"/>
      <c r="AB30" s="26" t="s">
        <v>1</v>
      </c>
      <c r="AC30" s="2">
        <f t="shared" ca="1" si="8"/>
        <v>9</v>
      </c>
      <c r="AD30" s="2" t="str">
        <f t="shared" ca="1" si="9"/>
        <v>Llamado de atencion</v>
      </c>
      <c r="AE30" s="19"/>
      <c r="AF30" s="19"/>
      <c r="AG30" s="19"/>
      <c r="AH30" s="19"/>
      <c r="AI30" s="19"/>
      <c r="AJ30" s="19"/>
      <c r="AK30" s="19"/>
      <c r="AL30" s="19"/>
      <c r="AM30" s="19"/>
    </row>
    <row r="31" spans="1:39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</row>
    <row r="32" spans="1:39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</row>
    <row r="33" spans="1:39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</row>
  </sheetData>
  <mergeCells count="55">
    <mergeCell ref="H15:I15"/>
    <mergeCell ref="B4:D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7:I17"/>
    <mergeCell ref="H18:I18"/>
    <mergeCell ref="H19:I19"/>
    <mergeCell ref="H20:I20"/>
    <mergeCell ref="H21:I21"/>
    <mergeCell ref="H28:I28"/>
    <mergeCell ref="H29:I29"/>
    <mergeCell ref="H30:I30"/>
    <mergeCell ref="H4:K5"/>
    <mergeCell ref="O4:R5"/>
    <mergeCell ref="O6:P6"/>
    <mergeCell ref="O7:P7"/>
    <mergeCell ref="O8:P8"/>
    <mergeCell ref="O9:P9"/>
    <mergeCell ref="H22:I22"/>
    <mergeCell ref="H23:I23"/>
    <mergeCell ref="H24:I24"/>
    <mergeCell ref="H25:I25"/>
    <mergeCell ref="H26:I26"/>
    <mergeCell ref="H27:I27"/>
    <mergeCell ref="H16:I16"/>
    <mergeCell ref="O21:P21"/>
    <mergeCell ref="O10:P10"/>
    <mergeCell ref="O11:P11"/>
    <mergeCell ref="O12:P12"/>
    <mergeCell ref="O13:P13"/>
    <mergeCell ref="O14:P14"/>
    <mergeCell ref="O15:P15"/>
    <mergeCell ref="O28:P28"/>
    <mergeCell ref="O29:P29"/>
    <mergeCell ref="O30:P30"/>
    <mergeCell ref="V4:X5"/>
    <mergeCell ref="AB4:AD5"/>
    <mergeCell ref="O22:P22"/>
    <mergeCell ref="O23:P23"/>
    <mergeCell ref="O24:P24"/>
    <mergeCell ref="O25:P25"/>
    <mergeCell ref="O26:P26"/>
    <mergeCell ref="O27:P27"/>
    <mergeCell ref="O16:P16"/>
    <mergeCell ref="O17:P17"/>
    <mergeCell ref="O18:P18"/>
    <mergeCell ref="O19:P19"/>
    <mergeCell ref="O20:P20"/>
  </mergeCells>
  <conditionalFormatting sqref="D7:D31">
    <cfRule type="containsText" dxfId="29" priority="11" operator="containsText" text="Paso">
      <formula>NOT(ISERROR(SEARCH("Paso",D7)))</formula>
    </cfRule>
  </conditionalFormatting>
  <conditionalFormatting sqref="D7:D30">
    <cfRule type="containsText" dxfId="28" priority="9" operator="containsText" text="Reprobo">
      <formula>NOT(ISERROR(SEARCH("Reprobo",D7)))</formula>
    </cfRule>
    <cfRule type="containsText" dxfId="27" priority="10" operator="containsText" text="Aprobo">
      <formula>NOT(ISERROR(SEARCH("Aprobo",D7)))</formula>
    </cfRule>
  </conditionalFormatting>
  <conditionalFormatting sqref="K7:K30">
    <cfRule type="containsText" dxfId="26" priority="7" operator="containsText" text="Alto">
      <formula>NOT(ISERROR(SEARCH("Alto",K7)))</formula>
    </cfRule>
    <cfRule type="containsText" dxfId="25" priority="8" operator="containsText" text="Bajo">
      <formula>NOT(ISERROR(SEARCH("Bajo",K7)))</formula>
    </cfRule>
  </conditionalFormatting>
  <conditionalFormatting sqref="R7:R30">
    <cfRule type="containsText" dxfId="24" priority="5" operator="containsText" text="Bajo">
      <formula>NOT(ISERROR(SEARCH("Bajo",R7)))</formula>
    </cfRule>
    <cfRule type="containsText" dxfId="23" priority="6" operator="containsText" text="Alto">
      <formula>NOT(ISERROR(SEARCH("Alto",R7)))</formula>
    </cfRule>
  </conditionalFormatting>
  <conditionalFormatting sqref="X7:X30">
    <cfRule type="containsText" dxfId="22" priority="3" operator="containsText" text="Pago">
      <formula>NOT(ISERROR(SEARCH("Pago",X7)))</formula>
    </cfRule>
    <cfRule type="containsText" dxfId="21" priority="4" operator="containsText" text="cuenta">
      <formula>NOT(ISERROR(SEARCH("cuenta",X7)))</formula>
    </cfRule>
  </conditionalFormatting>
  <conditionalFormatting sqref="AD7:AD30">
    <cfRule type="containsText" dxfId="20" priority="1" operator="containsText" text="LLA">
      <formula>NOT(ISERROR(SEARCH("LLA",AD7)))</formula>
    </cfRule>
    <cfRule type="containsText" dxfId="19" priority="2" operator="containsText" text="NO">
      <formula>NOT(ISERROR(SEARCH("NO",AD7)))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0E57-5432-438D-8C97-36CC8AE0C28E}">
  <dimension ref="B1:T34"/>
  <sheetViews>
    <sheetView topLeftCell="B1" workbookViewId="0">
      <selection activeCell="B1" sqref="B1:T34"/>
    </sheetView>
  </sheetViews>
  <sheetFormatPr baseColWidth="10" defaultRowHeight="15" x14ac:dyDescent="0.25"/>
  <cols>
    <col min="3" max="3" width="12.42578125" bestFit="1" customWidth="1"/>
    <col min="4" max="4" width="15" bestFit="1" customWidth="1"/>
    <col min="10" max="10" width="13.28515625" bestFit="1" customWidth="1"/>
    <col min="16" max="16" width="17.5703125" bestFit="1" customWidth="1"/>
  </cols>
  <sheetData>
    <row r="1" spans="2:20" x14ac:dyDescent="0.25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2:20" x14ac:dyDescent="0.25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2:20" x14ac:dyDescent="0.25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2:20" x14ac:dyDescent="0.25">
      <c r="B4" s="14" t="s">
        <v>29</v>
      </c>
      <c r="C4" s="14"/>
      <c r="D4" s="14"/>
      <c r="E4" s="19"/>
      <c r="F4" s="19"/>
      <c r="G4" s="19"/>
      <c r="H4" s="14" t="s">
        <v>30</v>
      </c>
      <c r="I4" s="14"/>
      <c r="J4" s="14"/>
      <c r="K4" s="19"/>
      <c r="L4" s="19"/>
      <c r="M4" s="19"/>
      <c r="N4" s="14" t="s">
        <v>31</v>
      </c>
      <c r="O4" s="14"/>
      <c r="P4" s="14"/>
      <c r="Q4" s="14"/>
      <c r="R4" s="19"/>
      <c r="S4" s="19"/>
      <c r="T4" s="19"/>
    </row>
    <row r="5" spans="2:20" x14ac:dyDescent="0.25">
      <c r="B5" s="14"/>
      <c r="C5" s="14"/>
      <c r="D5" s="14"/>
      <c r="E5" s="19"/>
      <c r="F5" s="19"/>
      <c r="G5" s="19"/>
      <c r="H5" s="14"/>
      <c r="I5" s="14"/>
      <c r="J5" s="14"/>
      <c r="K5" s="19"/>
      <c r="L5" s="19"/>
      <c r="M5" s="19"/>
      <c r="N5" s="14"/>
      <c r="O5" s="14"/>
      <c r="P5" s="14"/>
      <c r="Q5" s="14"/>
      <c r="R5" s="19"/>
      <c r="S5" s="19"/>
      <c r="T5" s="19"/>
    </row>
    <row r="6" spans="2:20" x14ac:dyDescent="0.25">
      <c r="B6" s="20" t="s">
        <v>21</v>
      </c>
      <c r="C6" s="20" t="s">
        <v>22</v>
      </c>
      <c r="D6" s="20" t="s">
        <v>24</v>
      </c>
      <c r="E6" s="19"/>
      <c r="F6" s="19"/>
      <c r="G6" s="19"/>
      <c r="H6" s="6" t="s">
        <v>5</v>
      </c>
      <c r="I6" s="6" t="s">
        <v>6</v>
      </c>
      <c r="J6" s="6" t="s">
        <v>7</v>
      </c>
      <c r="K6" s="19"/>
      <c r="L6" s="19"/>
      <c r="M6" s="19"/>
      <c r="N6" s="15" t="s">
        <v>14</v>
      </c>
      <c r="O6" s="15"/>
      <c r="P6" s="6" t="s">
        <v>15</v>
      </c>
      <c r="Q6" s="6" t="s">
        <v>16</v>
      </c>
      <c r="R6" s="19"/>
      <c r="S6" s="19"/>
      <c r="T6" s="19"/>
    </row>
    <row r="7" spans="2:20" x14ac:dyDescent="0.25">
      <c r="B7" s="21" t="s">
        <v>0</v>
      </c>
      <c r="C7" s="2">
        <f ca="1">RANDBETWEEN(10,65)</f>
        <v>61</v>
      </c>
      <c r="D7" s="2" t="str">
        <f ca="1">IF(C7&lt;=20,"Pago pendiente",IF(C7&lt;=39,"Riesgo de Mora","Cuenta en Mora"))</f>
        <v>Cuenta en Mora</v>
      </c>
      <c r="E7" s="19"/>
      <c r="F7" s="19"/>
      <c r="G7" s="19"/>
      <c r="H7" s="22" t="s">
        <v>0</v>
      </c>
      <c r="I7" s="2">
        <f ca="1">RANDBETWEEN(1,5)</f>
        <v>1</v>
      </c>
      <c r="J7" s="2" t="str">
        <f ca="1">IF(N20&lt;=2,"reprobo",IF(I7=3,"Aceptable",IF(I7=4,"Sobresaliente","Excelente")))</f>
        <v>Excelente</v>
      </c>
      <c r="K7" s="19"/>
      <c r="L7" s="19"/>
      <c r="M7" s="19"/>
      <c r="N7" s="16" t="s">
        <v>10</v>
      </c>
      <c r="O7" s="17"/>
      <c r="P7" s="2">
        <f ca="1">RANDBETWEEN(50,200)</f>
        <v>104</v>
      </c>
      <c r="Q7" s="2" t="str">
        <f ca="1">IF(P7&lt;=90,"Bajo",IF(P7&lt;=135,"Medio","Alto"))</f>
        <v>Medio</v>
      </c>
      <c r="R7" s="19"/>
      <c r="S7" s="19"/>
      <c r="T7" s="19"/>
    </row>
    <row r="8" spans="2:20" x14ac:dyDescent="0.25">
      <c r="B8" s="18" t="s">
        <v>1</v>
      </c>
      <c r="C8" s="2">
        <f t="shared" ref="C8:C30" ca="1" si="0">RANDBETWEEN(10,65)</f>
        <v>34</v>
      </c>
      <c r="D8" s="2" t="str">
        <f t="shared" ref="D8:D30" ca="1" si="1">IF(C8&lt;=20,"Pago pendiente",IF(C8&lt;=39,"Riesgo de Mora","Cuenta en Mora"))</f>
        <v>Riesgo de Mora</v>
      </c>
      <c r="E8" s="19"/>
      <c r="F8" s="19"/>
      <c r="G8" s="19"/>
      <c r="H8" s="18" t="s">
        <v>1</v>
      </c>
      <c r="I8" s="2">
        <f t="shared" ref="I8:I30" ca="1" si="2">RANDBETWEEN(1,5)</f>
        <v>4</v>
      </c>
      <c r="J8" s="2" t="str">
        <f t="shared" ref="J8:J30" ca="1" si="3">IF(I8&lt;=2,"reprobo",IF(I8=3,"Aceptable",IF(I8=4,"Sobresaliente","Excelente")))</f>
        <v>Sobresaliente</v>
      </c>
      <c r="K8" s="19"/>
      <c r="L8" s="19"/>
      <c r="M8" s="19"/>
      <c r="N8" s="13" t="s">
        <v>11</v>
      </c>
      <c r="O8" s="13"/>
      <c r="P8" s="2">
        <f t="shared" ref="P8:P30" ca="1" si="4">RANDBETWEEN(50,200)</f>
        <v>68</v>
      </c>
      <c r="Q8" s="2" t="str">
        <f t="shared" ref="Q8:Q30" ca="1" si="5">IF(P8&lt;=90,"Bajo",IF(P8&lt;=135,"Medio","Alto"))</f>
        <v>Bajo</v>
      </c>
      <c r="R8" s="19"/>
      <c r="S8" s="19"/>
      <c r="T8" s="19"/>
    </row>
    <row r="9" spans="2:20" x14ac:dyDescent="0.25">
      <c r="B9" s="22" t="s">
        <v>2</v>
      </c>
      <c r="C9" s="2">
        <f t="shared" ca="1" si="0"/>
        <v>26</v>
      </c>
      <c r="D9" s="2" t="str">
        <f t="shared" ca="1" si="1"/>
        <v>Riesgo de Mora</v>
      </c>
      <c r="E9" s="19"/>
      <c r="F9" s="19"/>
      <c r="G9" s="19"/>
      <c r="H9" s="22" t="s">
        <v>2</v>
      </c>
      <c r="I9" s="2">
        <f t="shared" ca="1" si="2"/>
        <v>3</v>
      </c>
      <c r="J9" s="2" t="str">
        <f t="shared" ca="1" si="3"/>
        <v>Aceptable</v>
      </c>
      <c r="K9" s="19"/>
      <c r="L9" s="19"/>
      <c r="M9" s="19"/>
      <c r="N9" s="13" t="s">
        <v>12</v>
      </c>
      <c r="O9" s="13"/>
      <c r="P9" s="2">
        <f t="shared" ca="1" si="4"/>
        <v>151</v>
      </c>
      <c r="Q9" s="2" t="str">
        <f t="shared" ca="1" si="5"/>
        <v>Alto</v>
      </c>
      <c r="R9" s="19"/>
      <c r="S9" s="19"/>
      <c r="T9" s="19"/>
    </row>
    <row r="10" spans="2:20" x14ac:dyDescent="0.25">
      <c r="B10" s="18" t="s">
        <v>1</v>
      </c>
      <c r="C10" s="2">
        <f t="shared" ca="1" si="0"/>
        <v>29</v>
      </c>
      <c r="D10" s="2" t="str">
        <f t="shared" ca="1" si="1"/>
        <v>Riesgo de Mora</v>
      </c>
      <c r="E10" s="19"/>
      <c r="F10" s="19"/>
      <c r="G10" s="19"/>
      <c r="H10" s="18" t="s">
        <v>1</v>
      </c>
      <c r="I10" s="2">
        <f t="shared" ca="1" si="2"/>
        <v>4</v>
      </c>
      <c r="J10" s="2" t="str">
        <f t="shared" ca="1" si="3"/>
        <v>Sobresaliente</v>
      </c>
      <c r="K10" s="19"/>
      <c r="L10" s="19"/>
      <c r="M10" s="19"/>
      <c r="N10" s="13" t="s">
        <v>13</v>
      </c>
      <c r="O10" s="13"/>
      <c r="P10" s="2">
        <f t="shared" ca="1" si="4"/>
        <v>151</v>
      </c>
      <c r="Q10" s="2" t="str">
        <f t="shared" ca="1" si="5"/>
        <v>Alto</v>
      </c>
      <c r="R10" s="19"/>
      <c r="S10" s="19"/>
      <c r="T10" s="19"/>
    </row>
    <row r="11" spans="2:20" x14ac:dyDescent="0.25">
      <c r="B11" s="22" t="s">
        <v>3</v>
      </c>
      <c r="C11" s="2">
        <f t="shared" ca="1" si="0"/>
        <v>45</v>
      </c>
      <c r="D11" s="2" t="str">
        <f t="shared" ca="1" si="1"/>
        <v>Cuenta en Mora</v>
      </c>
      <c r="E11" s="19"/>
      <c r="F11" s="19"/>
      <c r="G11" s="19"/>
      <c r="H11" s="22" t="s">
        <v>3</v>
      </c>
      <c r="I11" s="2">
        <f t="shared" ca="1" si="2"/>
        <v>1</v>
      </c>
      <c r="J11" s="2" t="str">
        <f t="shared" ca="1" si="3"/>
        <v>reprobo</v>
      </c>
      <c r="K11" s="19"/>
      <c r="L11" s="19"/>
      <c r="M11" s="19"/>
      <c r="N11" s="13" t="s">
        <v>10</v>
      </c>
      <c r="O11" s="13"/>
      <c r="P11" s="2">
        <f t="shared" ca="1" si="4"/>
        <v>57</v>
      </c>
      <c r="Q11" s="2" t="str">
        <f t="shared" ca="1" si="5"/>
        <v>Bajo</v>
      </c>
      <c r="R11" s="19"/>
      <c r="S11" s="19"/>
      <c r="T11" s="19"/>
    </row>
    <row r="12" spans="2:20" x14ac:dyDescent="0.25">
      <c r="B12" s="18" t="s">
        <v>2</v>
      </c>
      <c r="C12" s="2">
        <f t="shared" ca="1" si="0"/>
        <v>60</v>
      </c>
      <c r="D12" s="2" t="str">
        <f t="shared" ca="1" si="1"/>
        <v>Cuenta en Mora</v>
      </c>
      <c r="E12" s="19"/>
      <c r="F12" s="19"/>
      <c r="G12" s="19"/>
      <c r="H12" s="18" t="s">
        <v>2</v>
      </c>
      <c r="I12" s="2">
        <f t="shared" ca="1" si="2"/>
        <v>2</v>
      </c>
      <c r="J12" s="2" t="str">
        <f t="shared" ca="1" si="3"/>
        <v>reprobo</v>
      </c>
      <c r="K12" s="19"/>
      <c r="L12" s="19"/>
      <c r="M12" s="19"/>
      <c r="N12" s="13" t="s">
        <v>11</v>
      </c>
      <c r="O12" s="13"/>
      <c r="P12" s="2">
        <f t="shared" ca="1" si="4"/>
        <v>73</v>
      </c>
      <c r="Q12" s="2" t="str">
        <f t="shared" ca="1" si="5"/>
        <v>Bajo</v>
      </c>
      <c r="R12" s="19"/>
      <c r="S12" s="19"/>
      <c r="T12" s="19"/>
    </row>
    <row r="13" spans="2:20" x14ac:dyDescent="0.25">
      <c r="B13" s="22" t="s">
        <v>3</v>
      </c>
      <c r="C13" s="2">
        <f t="shared" ca="1" si="0"/>
        <v>10</v>
      </c>
      <c r="D13" s="2" t="str">
        <f t="shared" ca="1" si="1"/>
        <v>Pago pendiente</v>
      </c>
      <c r="E13" s="19"/>
      <c r="F13" s="19"/>
      <c r="G13" s="19"/>
      <c r="H13" s="22" t="s">
        <v>3</v>
      </c>
      <c r="I13" s="2">
        <f t="shared" ca="1" si="2"/>
        <v>4</v>
      </c>
      <c r="J13" s="2" t="str">
        <f t="shared" ca="1" si="3"/>
        <v>Sobresaliente</v>
      </c>
      <c r="K13" s="19"/>
      <c r="L13" s="19"/>
      <c r="M13" s="19"/>
      <c r="N13" s="13" t="s">
        <v>12</v>
      </c>
      <c r="O13" s="13"/>
      <c r="P13" s="2">
        <f t="shared" ca="1" si="4"/>
        <v>134</v>
      </c>
      <c r="Q13" s="2" t="str">
        <f t="shared" ca="1" si="5"/>
        <v>Medio</v>
      </c>
      <c r="R13" s="19"/>
      <c r="S13" s="19"/>
      <c r="T13" s="19"/>
    </row>
    <row r="14" spans="2:20" x14ac:dyDescent="0.25">
      <c r="B14" s="18" t="s">
        <v>3</v>
      </c>
      <c r="C14" s="2">
        <f t="shared" ca="1" si="0"/>
        <v>20</v>
      </c>
      <c r="D14" s="2" t="str">
        <f t="shared" ca="1" si="1"/>
        <v>Pago pendiente</v>
      </c>
      <c r="E14" s="19"/>
      <c r="F14" s="19"/>
      <c r="G14" s="19"/>
      <c r="H14" s="18" t="s">
        <v>3</v>
      </c>
      <c r="I14" s="2">
        <f t="shared" ca="1" si="2"/>
        <v>5</v>
      </c>
      <c r="J14" s="2" t="str">
        <f t="shared" ca="1" si="3"/>
        <v>Excelente</v>
      </c>
      <c r="K14" s="19"/>
      <c r="L14" s="19"/>
      <c r="M14" s="19"/>
      <c r="N14" s="13" t="s">
        <v>13</v>
      </c>
      <c r="O14" s="13"/>
      <c r="P14" s="2">
        <f t="shared" ca="1" si="4"/>
        <v>181</v>
      </c>
      <c r="Q14" s="2" t="str">
        <f t="shared" ca="1" si="5"/>
        <v>Alto</v>
      </c>
      <c r="R14" s="19"/>
      <c r="S14" s="19"/>
      <c r="T14" s="19"/>
    </row>
    <row r="15" spans="2:20" x14ac:dyDescent="0.25">
      <c r="B15" s="22" t="s">
        <v>1</v>
      </c>
      <c r="C15" s="2">
        <f t="shared" ca="1" si="0"/>
        <v>18</v>
      </c>
      <c r="D15" s="2" t="str">
        <f t="shared" ca="1" si="1"/>
        <v>Pago pendiente</v>
      </c>
      <c r="E15" s="19"/>
      <c r="F15" s="19"/>
      <c r="G15" s="19"/>
      <c r="H15" s="22" t="s">
        <v>1</v>
      </c>
      <c r="I15" s="2">
        <f t="shared" ca="1" si="2"/>
        <v>3</v>
      </c>
      <c r="J15" s="2" t="str">
        <f t="shared" ca="1" si="3"/>
        <v>Aceptable</v>
      </c>
      <c r="K15" s="19"/>
      <c r="L15" s="19"/>
      <c r="M15" s="19"/>
      <c r="N15" s="13" t="s">
        <v>10</v>
      </c>
      <c r="O15" s="13"/>
      <c r="P15" s="2">
        <f t="shared" ca="1" si="4"/>
        <v>125</v>
      </c>
      <c r="Q15" s="2" t="str">
        <f t="shared" ca="1" si="5"/>
        <v>Medio</v>
      </c>
      <c r="R15" s="19"/>
      <c r="S15" s="19"/>
      <c r="T15" s="19"/>
    </row>
    <row r="16" spans="2:20" x14ac:dyDescent="0.25">
      <c r="B16" s="18" t="s">
        <v>2</v>
      </c>
      <c r="C16" s="2">
        <f t="shared" ca="1" si="0"/>
        <v>64</v>
      </c>
      <c r="D16" s="2" t="str">
        <f t="shared" ca="1" si="1"/>
        <v>Cuenta en Mora</v>
      </c>
      <c r="E16" s="19"/>
      <c r="F16" s="19"/>
      <c r="G16" s="19"/>
      <c r="H16" s="18" t="s">
        <v>2</v>
      </c>
      <c r="I16" s="2">
        <f t="shared" ca="1" si="2"/>
        <v>2</v>
      </c>
      <c r="J16" s="2" t="str">
        <f t="shared" ca="1" si="3"/>
        <v>reprobo</v>
      </c>
      <c r="K16" s="19"/>
      <c r="L16" s="19"/>
      <c r="M16" s="19"/>
      <c r="N16" s="13" t="s">
        <v>11</v>
      </c>
      <c r="O16" s="13"/>
      <c r="P16" s="2">
        <f t="shared" ca="1" si="4"/>
        <v>152</v>
      </c>
      <c r="Q16" s="2" t="str">
        <f t="shared" ca="1" si="5"/>
        <v>Alto</v>
      </c>
      <c r="R16" s="19"/>
      <c r="S16" s="19"/>
      <c r="T16" s="19"/>
    </row>
    <row r="17" spans="2:20" x14ac:dyDescent="0.25">
      <c r="B17" s="22" t="s">
        <v>2</v>
      </c>
      <c r="C17" s="2">
        <f t="shared" ca="1" si="0"/>
        <v>45</v>
      </c>
      <c r="D17" s="2" t="str">
        <f t="shared" ca="1" si="1"/>
        <v>Cuenta en Mora</v>
      </c>
      <c r="E17" s="19"/>
      <c r="F17" s="19"/>
      <c r="G17" s="19"/>
      <c r="H17" s="22" t="s">
        <v>2</v>
      </c>
      <c r="I17" s="2">
        <f t="shared" ca="1" si="2"/>
        <v>4</v>
      </c>
      <c r="J17" s="2" t="str">
        <f t="shared" ca="1" si="3"/>
        <v>Sobresaliente</v>
      </c>
      <c r="K17" s="19"/>
      <c r="L17" s="19"/>
      <c r="M17" s="19"/>
      <c r="N17" s="13" t="s">
        <v>12</v>
      </c>
      <c r="O17" s="13"/>
      <c r="P17" s="2">
        <f t="shared" ca="1" si="4"/>
        <v>167</v>
      </c>
      <c r="Q17" s="2" t="str">
        <f t="shared" ca="1" si="5"/>
        <v>Alto</v>
      </c>
      <c r="R17" s="19"/>
      <c r="S17" s="19"/>
      <c r="T17" s="19"/>
    </row>
    <row r="18" spans="2:20" x14ac:dyDescent="0.25">
      <c r="B18" s="18" t="s">
        <v>2</v>
      </c>
      <c r="C18" s="2">
        <f t="shared" ca="1" si="0"/>
        <v>37</v>
      </c>
      <c r="D18" s="2" t="str">
        <f t="shared" ca="1" si="1"/>
        <v>Riesgo de Mora</v>
      </c>
      <c r="E18" s="19"/>
      <c r="F18" s="19"/>
      <c r="G18" s="19"/>
      <c r="H18" s="18" t="s">
        <v>2</v>
      </c>
      <c r="I18" s="2">
        <f t="shared" ca="1" si="2"/>
        <v>1</v>
      </c>
      <c r="J18" s="2" t="str">
        <f t="shared" ca="1" si="3"/>
        <v>reprobo</v>
      </c>
      <c r="K18" s="19"/>
      <c r="L18" s="19"/>
      <c r="M18" s="19"/>
      <c r="N18" s="13" t="s">
        <v>13</v>
      </c>
      <c r="O18" s="13"/>
      <c r="P18" s="2">
        <f t="shared" ca="1" si="4"/>
        <v>124</v>
      </c>
      <c r="Q18" s="2" t="str">
        <f t="shared" ca="1" si="5"/>
        <v>Medio</v>
      </c>
      <c r="R18" s="19"/>
      <c r="S18" s="19"/>
      <c r="T18" s="19"/>
    </row>
    <row r="19" spans="2:20" x14ac:dyDescent="0.25">
      <c r="B19" s="22" t="s">
        <v>1</v>
      </c>
      <c r="C19" s="2">
        <f t="shared" ca="1" si="0"/>
        <v>21</v>
      </c>
      <c r="D19" s="2" t="str">
        <f t="shared" ca="1" si="1"/>
        <v>Riesgo de Mora</v>
      </c>
      <c r="E19" s="19"/>
      <c r="F19" s="19"/>
      <c r="G19" s="19"/>
      <c r="H19" s="22" t="s">
        <v>1</v>
      </c>
      <c r="I19" s="2">
        <f t="shared" ca="1" si="2"/>
        <v>4</v>
      </c>
      <c r="J19" s="2" t="str">
        <f t="shared" ca="1" si="3"/>
        <v>Sobresaliente</v>
      </c>
      <c r="K19" s="19"/>
      <c r="L19" s="19"/>
      <c r="M19" s="19"/>
      <c r="N19" s="13" t="s">
        <v>10</v>
      </c>
      <c r="O19" s="13"/>
      <c r="P19" s="2">
        <f t="shared" ca="1" si="4"/>
        <v>94</v>
      </c>
      <c r="Q19" s="2" t="str">
        <f t="shared" ca="1" si="5"/>
        <v>Medio</v>
      </c>
      <c r="R19" s="19"/>
      <c r="S19" s="19"/>
      <c r="T19" s="19"/>
    </row>
    <row r="20" spans="2:20" x14ac:dyDescent="0.25">
      <c r="B20" s="18" t="s">
        <v>4</v>
      </c>
      <c r="C20" s="2">
        <f t="shared" ca="1" si="0"/>
        <v>54</v>
      </c>
      <c r="D20" s="2" t="str">
        <f t="shared" ca="1" si="1"/>
        <v>Cuenta en Mora</v>
      </c>
      <c r="E20" s="19"/>
      <c r="F20" s="19"/>
      <c r="G20" s="19"/>
      <c r="H20" s="18" t="s">
        <v>4</v>
      </c>
      <c r="I20" s="2">
        <f t="shared" ca="1" si="2"/>
        <v>2</v>
      </c>
      <c r="J20" s="2" t="str">
        <f t="shared" ca="1" si="3"/>
        <v>reprobo</v>
      </c>
      <c r="K20" s="19"/>
      <c r="L20" s="19"/>
      <c r="M20" s="19"/>
      <c r="N20" s="13" t="s">
        <v>11</v>
      </c>
      <c r="O20" s="13"/>
      <c r="P20" s="2">
        <f t="shared" ca="1" si="4"/>
        <v>185</v>
      </c>
      <c r="Q20" s="2" t="str">
        <f t="shared" ca="1" si="5"/>
        <v>Alto</v>
      </c>
      <c r="R20" s="19"/>
      <c r="S20" s="19"/>
      <c r="T20" s="19"/>
    </row>
    <row r="21" spans="2:20" x14ac:dyDescent="0.25">
      <c r="B21" s="22" t="s">
        <v>0</v>
      </c>
      <c r="C21" s="2">
        <f t="shared" ca="1" si="0"/>
        <v>24</v>
      </c>
      <c r="D21" s="2" t="str">
        <f t="shared" ca="1" si="1"/>
        <v>Riesgo de Mora</v>
      </c>
      <c r="E21" s="19"/>
      <c r="F21" s="19"/>
      <c r="G21" s="19"/>
      <c r="H21" s="22" t="s">
        <v>0</v>
      </c>
      <c r="I21" s="2">
        <f t="shared" ca="1" si="2"/>
        <v>2</v>
      </c>
      <c r="J21" s="2" t="str">
        <f t="shared" ca="1" si="3"/>
        <v>reprobo</v>
      </c>
      <c r="K21" s="19"/>
      <c r="L21" s="19"/>
      <c r="M21" s="19"/>
      <c r="N21" s="13" t="s">
        <v>12</v>
      </c>
      <c r="O21" s="13"/>
      <c r="P21" s="2">
        <f t="shared" ca="1" si="4"/>
        <v>66</v>
      </c>
      <c r="Q21" s="2" t="str">
        <f t="shared" ca="1" si="5"/>
        <v>Bajo</v>
      </c>
      <c r="R21" s="19"/>
      <c r="S21" s="19"/>
      <c r="T21" s="19"/>
    </row>
    <row r="22" spans="2:20" x14ac:dyDescent="0.25">
      <c r="B22" s="18" t="s">
        <v>2</v>
      </c>
      <c r="C22" s="2">
        <f t="shared" ca="1" si="0"/>
        <v>21</v>
      </c>
      <c r="D22" s="2" t="str">
        <f t="shared" ca="1" si="1"/>
        <v>Riesgo de Mora</v>
      </c>
      <c r="E22" s="19"/>
      <c r="F22" s="19"/>
      <c r="G22" s="19"/>
      <c r="H22" s="18" t="s">
        <v>2</v>
      </c>
      <c r="I22" s="2">
        <f t="shared" ca="1" si="2"/>
        <v>5</v>
      </c>
      <c r="J22" s="2" t="str">
        <f t="shared" ca="1" si="3"/>
        <v>Excelente</v>
      </c>
      <c r="K22" s="19"/>
      <c r="L22" s="19"/>
      <c r="M22" s="19"/>
      <c r="N22" s="13" t="s">
        <v>13</v>
      </c>
      <c r="O22" s="13"/>
      <c r="P22" s="2">
        <f t="shared" ca="1" si="4"/>
        <v>80</v>
      </c>
      <c r="Q22" s="2" t="str">
        <f t="shared" ca="1" si="5"/>
        <v>Bajo</v>
      </c>
      <c r="R22" s="19"/>
      <c r="S22" s="19"/>
      <c r="T22" s="19"/>
    </row>
    <row r="23" spans="2:20" x14ac:dyDescent="0.25">
      <c r="B23" s="22" t="s">
        <v>0</v>
      </c>
      <c r="C23" s="2">
        <f t="shared" ca="1" si="0"/>
        <v>23</v>
      </c>
      <c r="D23" s="2" t="str">
        <f t="shared" ca="1" si="1"/>
        <v>Riesgo de Mora</v>
      </c>
      <c r="E23" s="19"/>
      <c r="F23" s="19"/>
      <c r="G23" s="19"/>
      <c r="H23" s="22" t="s">
        <v>0</v>
      </c>
      <c r="I23" s="2">
        <f t="shared" ca="1" si="2"/>
        <v>1</v>
      </c>
      <c r="J23" s="2" t="str">
        <f t="shared" ca="1" si="3"/>
        <v>reprobo</v>
      </c>
      <c r="K23" s="19"/>
      <c r="L23" s="19"/>
      <c r="M23" s="19"/>
      <c r="N23" s="13" t="s">
        <v>10</v>
      </c>
      <c r="O23" s="13"/>
      <c r="P23" s="2">
        <f t="shared" ca="1" si="4"/>
        <v>183</v>
      </c>
      <c r="Q23" s="2" t="str">
        <f t="shared" ca="1" si="5"/>
        <v>Alto</v>
      </c>
      <c r="R23" s="19"/>
      <c r="S23" s="19"/>
      <c r="T23" s="19"/>
    </row>
    <row r="24" spans="2:20" x14ac:dyDescent="0.25">
      <c r="B24" s="18" t="s">
        <v>0</v>
      </c>
      <c r="C24" s="2">
        <f t="shared" ca="1" si="0"/>
        <v>17</v>
      </c>
      <c r="D24" s="2" t="str">
        <f t="shared" ca="1" si="1"/>
        <v>Pago pendiente</v>
      </c>
      <c r="E24" s="19"/>
      <c r="F24" s="19"/>
      <c r="G24" s="19"/>
      <c r="H24" s="18" t="s">
        <v>0</v>
      </c>
      <c r="I24" s="2">
        <f t="shared" ca="1" si="2"/>
        <v>2</v>
      </c>
      <c r="J24" s="2" t="str">
        <f t="shared" ca="1" si="3"/>
        <v>reprobo</v>
      </c>
      <c r="K24" s="19"/>
      <c r="L24" s="19"/>
      <c r="M24" s="19"/>
      <c r="N24" s="13" t="s">
        <v>11</v>
      </c>
      <c r="O24" s="13"/>
      <c r="P24" s="2">
        <f t="shared" ca="1" si="4"/>
        <v>70</v>
      </c>
      <c r="Q24" s="2" t="str">
        <f t="shared" ca="1" si="5"/>
        <v>Bajo</v>
      </c>
      <c r="R24" s="19"/>
      <c r="S24" s="19"/>
      <c r="T24" s="19"/>
    </row>
    <row r="25" spans="2:20" x14ac:dyDescent="0.25">
      <c r="B25" s="22" t="s">
        <v>0</v>
      </c>
      <c r="C25" s="2">
        <f t="shared" ca="1" si="0"/>
        <v>14</v>
      </c>
      <c r="D25" s="2" t="str">
        <f t="shared" ca="1" si="1"/>
        <v>Pago pendiente</v>
      </c>
      <c r="E25" s="19"/>
      <c r="F25" s="19"/>
      <c r="G25" s="19"/>
      <c r="H25" s="22" t="s">
        <v>0</v>
      </c>
      <c r="I25" s="2">
        <f t="shared" ca="1" si="2"/>
        <v>3</v>
      </c>
      <c r="J25" s="2" t="str">
        <f t="shared" ca="1" si="3"/>
        <v>Aceptable</v>
      </c>
      <c r="K25" s="19"/>
      <c r="L25" s="19"/>
      <c r="M25" s="19"/>
      <c r="N25" s="13" t="s">
        <v>12</v>
      </c>
      <c r="O25" s="13"/>
      <c r="P25" s="2">
        <f t="shared" ca="1" si="4"/>
        <v>167</v>
      </c>
      <c r="Q25" s="2" t="str">
        <f t="shared" ca="1" si="5"/>
        <v>Alto</v>
      </c>
      <c r="R25" s="19"/>
      <c r="S25" s="19"/>
      <c r="T25" s="19"/>
    </row>
    <row r="26" spans="2:20" x14ac:dyDescent="0.25">
      <c r="B26" s="18" t="s">
        <v>1</v>
      </c>
      <c r="C26" s="2">
        <f t="shared" ca="1" si="0"/>
        <v>65</v>
      </c>
      <c r="D26" s="2" t="str">
        <f t="shared" ca="1" si="1"/>
        <v>Cuenta en Mora</v>
      </c>
      <c r="E26" s="19"/>
      <c r="F26" s="19"/>
      <c r="G26" s="19"/>
      <c r="H26" s="18" t="s">
        <v>1</v>
      </c>
      <c r="I26" s="2">
        <f t="shared" ca="1" si="2"/>
        <v>5</v>
      </c>
      <c r="J26" s="2" t="str">
        <f t="shared" ca="1" si="3"/>
        <v>Excelente</v>
      </c>
      <c r="K26" s="19"/>
      <c r="L26" s="19"/>
      <c r="M26" s="19"/>
      <c r="N26" s="13" t="s">
        <v>13</v>
      </c>
      <c r="O26" s="13"/>
      <c r="P26" s="2">
        <f t="shared" ca="1" si="4"/>
        <v>174</v>
      </c>
      <c r="Q26" s="2" t="str">
        <f t="shared" ca="1" si="5"/>
        <v>Alto</v>
      </c>
      <c r="R26" s="19"/>
      <c r="S26" s="19"/>
      <c r="T26" s="19"/>
    </row>
    <row r="27" spans="2:20" x14ac:dyDescent="0.25">
      <c r="B27" s="22" t="s">
        <v>4</v>
      </c>
      <c r="C27" s="2">
        <f t="shared" ca="1" si="0"/>
        <v>22</v>
      </c>
      <c r="D27" s="2" t="str">
        <f t="shared" ca="1" si="1"/>
        <v>Riesgo de Mora</v>
      </c>
      <c r="E27" s="19"/>
      <c r="F27" s="19"/>
      <c r="G27" s="19"/>
      <c r="H27" s="22" t="s">
        <v>4</v>
      </c>
      <c r="I27" s="2">
        <f t="shared" ca="1" si="2"/>
        <v>1</v>
      </c>
      <c r="J27" s="2" t="str">
        <f t="shared" ca="1" si="3"/>
        <v>reprobo</v>
      </c>
      <c r="K27" s="19"/>
      <c r="L27" s="19"/>
      <c r="M27" s="19"/>
      <c r="N27" s="13" t="s">
        <v>10</v>
      </c>
      <c r="O27" s="13"/>
      <c r="P27" s="2">
        <f t="shared" ca="1" si="4"/>
        <v>99</v>
      </c>
      <c r="Q27" s="2" t="str">
        <f t="shared" ca="1" si="5"/>
        <v>Medio</v>
      </c>
      <c r="R27" s="19"/>
      <c r="S27" s="19"/>
      <c r="T27" s="19"/>
    </row>
    <row r="28" spans="2:20" x14ac:dyDescent="0.25">
      <c r="B28" s="18" t="s">
        <v>2</v>
      </c>
      <c r="C28" s="2">
        <f t="shared" ca="1" si="0"/>
        <v>57</v>
      </c>
      <c r="D28" s="2" t="str">
        <f t="shared" ca="1" si="1"/>
        <v>Cuenta en Mora</v>
      </c>
      <c r="E28" s="19"/>
      <c r="F28" s="19"/>
      <c r="G28" s="19"/>
      <c r="H28" s="18" t="s">
        <v>2</v>
      </c>
      <c r="I28" s="2">
        <f t="shared" ca="1" si="2"/>
        <v>3</v>
      </c>
      <c r="J28" s="2" t="str">
        <f t="shared" ca="1" si="3"/>
        <v>Aceptable</v>
      </c>
      <c r="K28" s="19"/>
      <c r="L28" s="19"/>
      <c r="M28" s="19"/>
      <c r="N28" s="13" t="s">
        <v>11</v>
      </c>
      <c r="O28" s="13"/>
      <c r="P28" s="2">
        <f t="shared" ca="1" si="4"/>
        <v>109</v>
      </c>
      <c r="Q28" s="2" t="str">
        <f t="shared" ca="1" si="5"/>
        <v>Medio</v>
      </c>
      <c r="R28" s="19"/>
      <c r="S28" s="19"/>
      <c r="T28" s="19"/>
    </row>
    <row r="29" spans="2:20" x14ac:dyDescent="0.25">
      <c r="B29" s="22" t="s">
        <v>2</v>
      </c>
      <c r="C29" s="2">
        <f t="shared" ca="1" si="0"/>
        <v>44</v>
      </c>
      <c r="D29" s="2" t="str">
        <f t="shared" ca="1" si="1"/>
        <v>Cuenta en Mora</v>
      </c>
      <c r="E29" s="19"/>
      <c r="F29" s="19"/>
      <c r="G29" s="19"/>
      <c r="H29" s="22" t="s">
        <v>2</v>
      </c>
      <c r="I29" s="2">
        <f t="shared" ca="1" si="2"/>
        <v>2</v>
      </c>
      <c r="J29" s="2" t="str">
        <f t="shared" ca="1" si="3"/>
        <v>reprobo</v>
      </c>
      <c r="K29" s="19"/>
      <c r="L29" s="19"/>
      <c r="M29" s="19"/>
      <c r="N29" s="13" t="s">
        <v>12</v>
      </c>
      <c r="O29" s="13"/>
      <c r="P29" s="2">
        <f t="shared" ca="1" si="4"/>
        <v>195</v>
      </c>
      <c r="Q29" s="2" t="str">
        <f t="shared" ca="1" si="5"/>
        <v>Alto</v>
      </c>
      <c r="R29" s="19"/>
      <c r="S29" s="19"/>
      <c r="T29" s="19"/>
    </row>
    <row r="30" spans="2:20" x14ac:dyDescent="0.25">
      <c r="B30" s="18" t="s">
        <v>3</v>
      </c>
      <c r="C30" s="2">
        <f t="shared" ca="1" si="0"/>
        <v>10</v>
      </c>
      <c r="D30" s="2" t="str">
        <f t="shared" ca="1" si="1"/>
        <v>Pago pendiente</v>
      </c>
      <c r="E30" s="19"/>
      <c r="F30" s="19"/>
      <c r="G30" s="19"/>
      <c r="H30" s="18" t="s">
        <v>3</v>
      </c>
      <c r="I30" s="2">
        <f t="shared" ca="1" si="2"/>
        <v>1</v>
      </c>
      <c r="J30" s="2" t="str">
        <f t="shared" ca="1" si="3"/>
        <v>reprobo</v>
      </c>
      <c r="K30" s="19"/>
      <c r="L30" s="19"/>
      <c r="M30" s="19"/>
      <c r="N30" s="13" t="s">
        <v>13</v>
      </c>
      <c r="O30" s="13"/>
      <c r="P30" s="2">
        <f t="shared" ca="1" si="4"/>
        <v>96</v>
      </c>
      <c r="Q30" s="2" t="str">
        <f t="shared" ca="1" si="5"/>
        <v>Medio</v>
      </c>
      <c r="R30" s="19"/>
      <c r="S30" s="19"/>
      <c r="T30" s="19"/>
    </row>
    <row r="31" spans="2:20" x14ac:dyDescent="0.25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2:20" x14ac:dyDescent="0.2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2:20" x14ac:dyDescent="0.25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2:20" x14ac:dyDescent="0.25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</sheetData>
  <mergeCells count="28">
    <mergeCell ref="N8:O8"/>
    <mergeCell ref="B4:D5"/>
    <mergeCell ref="H4:J5"/>
    <mergeCell ref="N4:Q5"/>
    <mergeCell ref="N6:O6"/>
    <mergeCell ref="N7:O7"/>
    <mergeCell ref="N20:O20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7:O27"/>
    <mergeCell ref="N28:O28"/>
    <mergeCell ref="N29:O29"/>
    <mergeCell ref="N30:O30"/>
    <mergeCell ref="N21:O21"/>
    <mergeCell ref="N22:O22"/>
    <mergeCell ref="N23:O23"/>
    <mergeCell ref="N24:O24"/>
    <mergeCell ref="N25:O25"/>
    <mergeCell ref="N26:O26"/>
  </mergeCells>
  <conditionalFormatting sqref="D7:D30">
    <cfRule type="containsText" dxfId="18" priority="12" operator="containsText" text="Riesgo">
      <formula>NOT(ISERROR(SEARCH("Riesgo",D7)))</formula>
    </cfRule>
    <cfRule type="containsText" dxfId="17" priority="13" operator="containsText" text="Pago">
      <formula>NOT(ISERROR(SEARCH("Pago",D7)))</formula>
    </cfRule>
    <cfRule type="containsText" dxfId="16" priority="14" operator="containsText" text="Pago">
      <formula>NOT(ISERROR(SEARCH("Pago",D7)))</formula>
    </cfRule>
    <cfRule type="containsText" dxfId="15" priority="15" operator="containsText" text="cuenta">
      <formula>NOT(ISERROR(SEARCH("cuenta",D7)))</formula>
    </cfRule>
  </conditionalFormatting>
  <conditionalFormatting sqref="J7:J30">
    <cfRule type="containsText" dxfId="14" priority="1" operator="containsText" text="Exce">
      <formula>NOT(ISERROR(SEARCH("Exce",J7)))</formula>
    </cfRule>
    <cfRule type="containsText" dxfId="13" priority="2" operator="containsText" text="Sobre">
      <formula>NOT(ISERROR(SEARCH("Sobre",J7)))</formula>
    </cfRule>
    <cfRule type="containsText" dxfId="12" priority="6" operator="containsText" text="exce">
      <formula>NOT(ISERROR(SEARCH("exce",J7)))</formula>
    </cfRule>
    <cfRule type="containsText" dxfId="11" priority="7" operator="containsText" text="sobre">
      <formula>NOT(ISERROR(SEARCH("sobre",J7)))</formula>
    </cfRule>
    <cfRule type="containsText" dxfId="10" priority="8" operator="containsText" text="acepta">
      <formula>NOT(ISERROR(SEARCH("acepta",J7)))</formula>
    </cfRule>
    <cfRule type="containsText" dxfId="9" priority="11" operator="containsText" text="Paso">
      <formula>NOT(ISERROR(SEARCH("Paso",J7)))</formula>
    </cfRule>
  </conditionalFormatting>
  <conditionalFormatting sqref="J7:J30">
    <cfRule type="containsText" dxfId="8" priority="9" operator="containsText" text="Reprobo">
      <formula>NOT(ISERROR(SEARCH("Reprobo",J7)))</formula>
    </cfRule>
    <cfRule type="containsText" dxfId="7" priority="10" operator="containsText" text="Aprobo">
      <formula>NOT(ISERROR(SEARCH("Aprobo",J7)))</formula>
    </cfRule>
  </conditionalFormatting>
  <conditionalFormatting sqref="Q7:Q30">
    <cfRule type="containsText" dxfId="6" priority="3" operator="containsText" text="Me">
      <formula>NOT(ISERROR(SEARCH("Me",Q7)))</formula>
    </cfRule>
    <cfRule type="containsText" dxfId="5" priority="4" operator="containsText" text="Alto">
      <formula>NOT(ISERROR(SEARCH("Alto",Q7)))</formula>
    </cfRule>
    <cfRule type="containsText" dxfId="4" priority="5" operator="containsText" text="Bajo">
      <formula>NOT(ISERROR(SEARCH("Bajo",Q7)))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9B2E-F3CB-40EB-BEAF-9ED0B9BAA11A}">
  <dimension ref="B1:U22"/>
  <sheetViews>
    <sheetView topLeftCell="C1" workbookViewId="0">
      <selection activeCell="G39" sqref="G39"/>
    </sheetView>
  </sheetViews>
  <sheetFormatPr baseColWidth="10" defaultRowHeight="15" x14ac:dyDescent="0.25"/>
  <cols>
    <col min="2" max="2" width="11.42578125" customWidth="1"/>
    <col min="4" max="4" width="11.5703125" customWidth="1"/>
    <col min="5" max="5" width="15.28515625" customWidth="1"/>
    <col min="7" max="7" width="34.140625" bestFit="1" customWidth="1"/>
    <col min="8" max="8" width="14.5703125" bestFit="1" customWidth="1"/>
    <col min="9" max="9" width="11.85546875" bestFit="1" customWidth="1"/>
    <col min="10" max="10" width="11.5703125" customWidth="1"/>
    <col min="11" max="11" width="11.42578125" customWidth="1"/>
    <col min="12" max="13" width="14" bestFit="1" customWidth="1"/>
    <col min="14" max="15" width="11.42578125" customWidth="1"/>
    <col min="16" max="16" width="17.28515625" bestFit="1" customWidth="1"/>
    <col min="20" max="20" width="14.5703125" bestFit="1" customWidth="1"/>
  </cols>
  <sheetData>
    <row r="1" spans="2:21" ht="15" customHeight="1" x14ac:dyDescent="0.25">
      <c r="B1" s="32" t="s">
        <v>39</v>
      </c>
      <c r="C1" s="33"/>
      <c r="D1" s="33"/>
      <c r="E1" s="33"/>
      <c r="F1" s="33"/>
      <c r="G1" s="33"/>
      <c r="H1" s="33"/>
      <c r="I1" s="33"/>
      <c r="L1" s="44" t="s">
        <v>84</v>
      </c>
      <c r="M1" s="44"/>
      <c r="N1" s="44"/>
      <c r="O1" s="44"/>
      <c r="P1" s="44"/>
      <c r="Q1" s="44"/>
      <c r="R1" s="44"/>
      <c r="S1" s="44"/>
      <c r="T1" s="44"/>
      <c r="U1" s="44"/>
    </row>
    <row r="2" spans="2:21" ht="15" customHeight="1" x14ac:dyDescent="0.25">
      <c r="B2" s="34"/>
      <c r="C2" s="35"/>
      <c r="D2" s="35"/>
      <c r="E2" s="35"/>
      <c r="F2" s="35"/>
      <c r="G2" s="35"/>
      <c r="H2" s="35"/>
      <c r="I2" s="35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2:21" x14ac:dyDescent="0.25">
      <c r="B3" s="37" t="s">
        <v>32</v>
      </c>
      <c r="C3" s="38" t="s">
        <v>33</v>
      </c>
      <c r="D3" s="38" t="s">
        <v>34</v>
      </c>
      <c r="E3" s="38" t="s">
        <v>35</v>
      </c>
      <c r="F3" s="38" t="s">
        <v>36</v>
      </c>
      <c r="G3" s="38" t="s">
        <v>37</v>
      </c>
      <c r="H3" s="31" t="s">
        <v>38</v>
      </c>
      <c r="I3" s="39" t="s">
        <v>92</v>
      </c>
      <c r="L3" s="23" t="s">
        <v>75</v>
      </c>
      <c r="M3" s="10">
        <v>3</v>
      </c>
      <c r="N3" s="10"/>
      <c r="O3" s="10"/>
      <c r="P3" s="23" t="s">
        <v>79</v>
      </c>
      <c r="Q3" s="10" t="str">
        <f>IFERROR(VLOOKUP(M3,Tabla1[],8,0),"")</f>
        <v>Tulua</v>
      </c>
      <c r="R3" s="10"/>
      <c r="S3" s="10"/>
      <c r="T3" s="27" t="s">
        <v>91</v>
      </c>
      <c r="U3" s="27"/>
    </row>
    <row r="4" spans="2:21" x14ac:dyDescent="0.25">
      <c r="B4" s="36">
        <v>1</v>
      </c>
      <c r="C4" s="29" t="s">
        <v>40</v>
      </c>
      <c r="D4" s="29" t="s">
        <v>55</v>
      </c>
      <c r="E4" s="29">
        <v>1113123456</v>
      </c>
      <c r="F4" s="29">
        <v>300123456</v>
      </c>
      <c r="G4" s="29" t="s">
        <v>95</v>
      </c>
      <c r="H4" s="47">
        <v>2000000</v>
      </c>
      <c r="I4" s="7" t="s">
        <v>93</v>
      </c>
      <c r="L4" s="23" t="s">
        <v>85</v>
      </c>
      <c r="M4" s="10">
        <f>IFERROR(VLOOKUP(M3,'Buscar V'!$B$4:$H$18,4,0),"")</f>
        <v>1113123458</v>
      </c>
      <c r="N4" s="10"/>
      <c r="O4" s="10"/>
      <c r="P4" s="23" t="s">
        <v>80</v>
      </c>
      <c r="Q4" s="10" t="str">
        <f>IFERROR(VLOOKUP(M3,Tabla1[],6,0),"")</f>
        <v>Desarrollador de Software</v>
      </c>
      <c r="R4" s="10"/>
      <c r="S4" s="10"/>
      <c r="T4" s="28">
        <f ca="1">NOW()</f>
        <v>46232.888385069447</v>
      </c>
      <c r="U4" s="10"/>
    </row>
    <row r="5" spans="2:21" x14ac:dyDescent="0.25">
      <c r="B5" s="36">
        <v>2</v>
      </c>
      <c r="C5" s="30" t="s">
        <v>41</v>
      </c>
      <c r="D5" s="30" t="s">
        <v>56</v>
      </c>
      <c r="E5" s="30">
        <v>1113123457</v>
      </c>
      <c r="F5" s="30">
        <v>300123457</v>
      </c>
      <c r="G5" s="30" t="s">
        <v>70</v>
      </c>
      <c r="H5" s="48">
        <v>5200000</v>
      </c>
      <c r="I5" s="7" t="s">
        <v>106</v>
      </c>
      <c r="L5" s="23" t="s">
        <v>78</v>
      </c>
      <c r="M5" s="10" t="str">
        <f>IFERROR(VLOOKUP(M3,'Buscar V'!$B$4:$H$18,2,0),"")</f>
        <v>Adrián</v>
      </c>
      <c r="N5" s="10"/>
      <c r="O5" s="10"/>
      <c r="P5" s="23" t="s">
        <v>81</v>
      </c>
      <c r="Q5" s="41">
        <f>IFERROR(VLOOKUP(M3,Tabla1[],7,0),"")</f>
        <v>4500000</v>
      </c>
      <c r="R5" s="41"/>
      <c r="S5" s="41"/>
      <c r="T5" s="10"/>
      <c r="U5" s="10"/>
    </row>
    <row r="6" spans="2:21" x14ac:dyDescent="0.25">
      <c r="B6" s="36">
        <v>3</v>
      </c>
      <c r="C6" s="29" t="s">
        <v>42</v>
      </c>
      <c r="D6" s="29" t="s">
        <v>57</v>
      </c>
      <c r="E6" s="29">
        <v>1113123458</v>
      </c>
      <c r="F6" s="29">
        <v>300123458</v>
      </c>
      <c r="G6" s="29" t="s">
        <v>96</v>
      </c>
      <c r="H6" s="47">
        <v>4500000</v>
      </c>
      <c r="I6" s="7" t="s">
        <v>105</v>
      </c>
      <c r="L6" s="23" t="s">
        <v>77</v>
      </c>
      <c r="M6" s="10" t="str">
        <f>IFERROR(VLOOKUP(M3,'Buscar V'!$B$4:$H$18,3,0),"")</f>
        <v>Silva</v>
      </c>
      <c r="N6" s="10"/>
      <c r="O6" s="10"/>
      <c r="P6" s="23" t="s">
        <v>82</v>
      </c>
      <c r="Q6" s="10">
        <f ca="1">RANDBETWEEN(15,30)</f>
        <v>30</v>
      </c>
      <c r="R6" s="10"/>
      <c r="S6" s="10"/>
      <c r="T6" s="27" t="s">
        <v>94</v>
      </c>
      <c r="U6" s="27"/>
    </row>
    <row r="7" spans="2:21" x14ac:dyDescent="0.25">
      <c r="B7" s="36">
        <v>4</v>
      </c>
      <c r="C7" s="30" t="s">
        <v>43</v>
      </c>
      <c r="D7" s="30" t="s">
        <v>58</v>
      </c>
      <c r="E7" s="30">
        <v>1113123459</v>
      </c>
      <c r="F7" s="30">
        <v>300123459</v>
      </c>
      <c r="G7" s="30" t="s">
        <v>96</v>
      </c>
      <c r="H7" s="48">
        <v>2600000</v>
      </c>
      <c r="I7" s="7" t="s">
        <v>104</v>
      </c>
      <c r="L7" s="23" t="s">
        <v>76</v>
      </c>
      <c r="M7" s="10">
        <f>IFERROR(VLOOKUP(M3,'Buscar V'!$B$4:$H$18,5,0),"")</f>
        <v>300123458</v>
      </c>
      <c r="N7" s="10"/>
      <c r="O7" s="10"/>
      <c r="P7" s="23" t="s">
        <v>83</v>
      </c>
      <c r="Q7" s="41">
        <f ca="1">(Q5/31)*Q6</f>
        <v>4354838.7096774187</v>
      </c>
      <c r="R7" s="41"/>
      <c r="S7" s="41"/>
      <c r="T7" s="41">
        <f ca="1">IF(M12="Sin bono",Q7+0,Q7+350000)</f>
        <v>4704838.7096774187</v>
      </c>
      <c r="U7" s="41"/>
    </row>
    <row r="8" spans="2:21" x14ac:dyDescent="0.25">
      <c r="B8" s="36">
        <v>5</v>
      </c>
      <c r="C8" s="29" t="s">
        <v>44</v>
      </c>
      <c r="D8" s="29" t="s">
        <v>59</v>
      </c>
      <c r="E8" s="29">
        <v>1113123460</v>
      </c>
      <c r="F8" s="29">
        <v>300123460</v>
      </c>
      <c r="G8" s="29" t="s">
        <v>97</v>
      </c>
      <c r="H8" s="47">
        <v>3100000</v>
      </c>
      <c r="I8" s="7" t="s">
        <v>103</v>
      </c>
    </row>
    <row r="9" spans="2:21" x14ac:dyDescent="0.25">
      <c r="B9" s="36">
        <v>6</v>
      </c>
      <c r="C9" s="30" t="s">
        <v>45</v>
      </c>
      <c r="D9" s="30" t="s">
        <v>60</v>
      </c>
      <c r="E9" s="30">
        <v>1113123461</v>
      </c>
      <c r="F9" s="30">
        <v>300123461</v>
      </c>
      <c r="G9" s="30" t="s">
        <v>98</v>
      </c>
      <c r="H9" s="48">
        <v>3400000</v>
      </c>
      <c r="I9" s="7" t="s">
        <v>107</v>
      </c>
      <c r="L9" s="23" t="s">
        <v>86</v>
      </c>
      <c r="M9" s="42">
        <f ca="1">T7-(T7*8%)</f>
        <v>4328451.6129032252</v>
      </c>
      <c r="N9" s="10"/>
      <c r="O9" s="10"/>
      <c r="P9" s="23" t="s">
        <v>90</v>
      </c>
      <c r="Q9" s="42">
        <f ca="1">M13</f>
        <v>3670502.0064516128</v>
      </c>
      <c r="R9" s="10"/>
      <c r="S9" s="10"/>
    </row>
    <row r="10" spans="2:21" x14ac:dyDescent="0.25">
      <c r="B10" s="36">
        <v>7</v>
      </c>
      <c r="C10" s="29" t="s">
        <v>46</v>
      </c>
      <c r="D10" s="29" t="s">
        <v>61</v>
      </c>
      <c r="E10" s="29">
        <v>1113123462</v>
      </c>
      <c r="F10" s="29">
        <v>300123462</v>
      </c>
      <c r="G10" s="29" t="s">
        <v>71</v>
      </c>
      <c r="H10" s="47">
        <v>3800000</v>
      </c>
      <c r="I10" s="7" t="s">
        <v>93</v>
      </c>
      <c r="L10" s="23" t="s">
        <v>87</v>
      </c>
      <c r="M10" s="42">
        <f ca="1">M9-(M9*11%)</f>
        <v>3852321.9354838706</v>
      </c>
      <c r="N10" s="10"/>
      <c r="O10" s="10"/>
      <c r="P10" s="23" t="s">
        <v>117</v>
      </c>
      <c r="Q10" s="10" t="str">
        <f ca="1">IF(Q9&gt;=2100000,"No se aprueba","Aprobado")</f>
        <v>No se aprueba</v>
      </c>
      <c r="R10" s="10"/>
      <c r="S10" s="10"/>
    </row>
    <row r="11" spans="2:21" x14ac:dyDescent="0.25">
      <c r="B11" s="36">
        <v>8</v>
      </c>
      <c r="C11" s="30" t="s">
        <v>47</v>
      </c>
      <c r="D11" s="30" t="s">
        <v>62</v>
      </c>
      <c r="E11" s="30">
        <v>1113123463</v>
      </c>
      <c r="F11" s="30">
        <v>300123463</v>
      </c>
      <c r="G11" s="30" t="s">
        <v>71</v>
      </c>
      <c r="H11" s="48">
        <v>2700000</v>
      </c>
      <c r="I11" s="7" t="s">
        <v>106</v>
      </c>
      <c r="L11" s="23" t="s">
        <v>88</v>
      </c>
      <c r="M11" s="41">
        <f ca="1">IF(T7&gt;2000000,M10-(M10*0.11),M10)</f>
        <v>3428566.522580645</v>
      </c>
      <c r="N11" s="41"/>
      <c r="O11" s="41"/>
    </row>
    <row r="12" spans="2:21" x14ac:dyDescent="0.25">
      <c r="B12" s="36">
        <v>9</v>
      </c>
      <c r="C12" s="29" t="s">
        <v>48</v>
      </c>
      <c r="D12" s="29" t="s">
        <v>63</v>
      </c>
      <c r="E12" s="29">
        <v>1113123464</v>
      </c>
      <c r="F12" s="29">
        <v>300123464</v>
      </c>
      <c r="G12" s="29" t="s">
        <v>72</v>
      </c>
      <c r="H12" s="47">
        <v>2200000</v>
      </c>
      <c r="I12" s="7" t="s">
        <v>105</v>
      </c>
      <c r="L12" s="23" t="s">
        <v>89</v>
      </c>
      <c r="M12" s="10" t="str">
        <f ca="1">IF(Q6&gt;=25,"Bonificacion","Sin bono")</f>
        <v>Bonificacion</v>
      </c>
      <c r="N12" s="10"/>
      <c r="O12" s="10"/>
    </row>
    <row r="13" spans="2:21" x14ac:dyDescent="0.25">
      <c r="B13" s="36">
        <v>10</v>
      </c>
      <c r="C13" s="30" t="s">
        <v>49</v>
      </c>
      <c r="D13" s="30" t="s">
        <v>64</v>
      </c>
      <c r="E13" s="30">
        <v>1113123465</v>
      </c>
      <c r="F13" s="30">
        <v>300123465</v>
      </c>
      <c r="G13" s="30" t="s">
        <v>99</v>
      </c>
      <c r="H13" s="48">
        <v>2400000</v>
      </c>
      <c r="I13" s="7" t="s">
        <v>108</v>
      </c>
      <c r="L13" s="23" t="s">
        <v>111</v>
      </c>
      <c r="M13" s="41">
        <f ca="1">M11+(250000/31*Q6)</f>
        <v>3670502.0064516128</v>
      </c>
      <c r="N13" s="41"/>
      <c r="O13" s="41"/>
    </row>
    <row r="14" spans="2:21" x14ac:dyDescent="0.25">
      <c r="B14" s="36">
        <v>11</v>
      </c>
      <c r="C14" s="29" t="s">
        <v>50</v>
      </c>
      <c r="D14" s="29" t="s">
        <v>65</v>
      </c>
      <c r="E14" s="29">
        <v>1113123466</v>
      </c>
      <c r="F14" s="29">
        <v>300123466</v>
      </c>
      <c r="G14" s="29" t="s">
        <v>73</v>
      </c>
      <c r="H14" s="47">
        <v>4100000</v>
      </c>
      <c r="I14" s="7" t="s">
        <v>103</v>
      </c>
    </row>
    <row r="15" spans="2:21" x14ac:dyDescent="0.25">
      <c r="B15" s="36">
        <v>12</v>
      </c>
      <c r="C15" s="30" t="s">
        <v>51</v>
      </c>
      <c r="D15" s="30" t="s">
        <v>66</v>
      </c>
      <c r="E15" s="30">
        <v>1113123467</v>
      </c>
      <c r="F15" s="30">
        <v>300123467</v>
      </c>
      <c r="G15" s="30" t="s">
        <v>100</v>
      </c>
      <c r="H15" s="48">
        <v>3600000</v>
      </c>
      <c r="I15" s="7" t="s">
        <v>107</v>
      </c>
      <c r="L15" s="23" t="s">
        <v>86</v>
      </c>
      <c r="M15" s="5" t="s">
        <v>87</v>
      </c>
      <c r="N15" s="5" t="s">
        <v>88</v>
      </c>
      <c r="O15" s="5" t="s">
        <v>109</v>
      </c>
      <c r="P15" s="5" t="s">
        <v>112</v>
      </c>
    </row>
    <row r="16" spans="2:21" x14ac:dyDescent="0.25">
      <c r="B16" s="36">
        <v>13</v>
      </c>
      <c r="C16" s="29" t="s">
        <v>52</v>
      </c>
      <c r="D16" s="29" t="s">
        <v>67</v>
      </c>
      <c r="E16" s="29">
        <v>1113123468</v>
      </c>
      <c r="F16" s="29">
        <v>300123468</v>
      </c>
      <c r="G16" s="29" t="s">
        <v>100</v>
      </c>
      <c r="H16" s="47">
        <v>2300000</v>
      </c>
      <c r="I16" s="7" t="s">
        <v>93</v>
      </c>
      <c r="L16" s="43">
        <v>0.08</v>
      </c>
      <c r="M16" s="43">
        <v>0.11</v>
      </c>
      <c r="N16" s="45" t="s">
        <v>110</v>
      </c>
      <c r="O16" s="46">
        <v>350000</v>
      </c>
      <c r="P16" s="46">
        <f ca="1">250000/31*Q6</f>
        <v>241935.48387096776</v>
      </c>
    </row>
    <row r="17" spans="2:13" x14ac:dyDescent="0.25">
      <c r="B17" s="36">
        <v>14</v>
      </c>
      <c r="C17" s="30" t="s">
        <v>53</v>
      </c>
      <c r="D17" s="30" t="s">
        <v>68</v>
      </c>
      <c r="E17" s="30">
        <v>1113123469</v>
      </c>
      <c r="F17" s="30">
        <v>300123469</v>
      </c>
      <c r="G17" s="30" t="s">
        <v>101</v>
      </c>
      <c r="H17" s="48">
        <v>3300000</v>
      </c>
      <c r="I17" s="7" t="s">
        <v>106</v>
      </c>
    </row>
    <row r="18" spans="2:13" x14ac:dyDescent="0.25">
      <c r="B18" s="36">
        <v>15</v>
      </c>
      <c r="C18" s="40" t="s">
        <v>54</v>
      </c>
      <c r="D18" s="29" t="s">
        <v>69</v>
      </c>
      <c r="E18" s="29">
        <v>1113123470</v>
      </c>
      <c r="F18" s="29">
        <v>300123470</v>
      </c>
      <c r="G18" s="40" t="s">
        <v>102</v>
      </c>
      <c r="H18" s="47">
        <v>6000000</v>
      </c>
      <c r="I18" s="8" t="s">
        <v>105</v>
      </c>
    </row>
    <row r="19" spans="2:13" x14ac:dyDescent="0.25">
      <c r="L19" s="10" t="s">
        <v>113</v>
      </c>
      <c r="M19" s="10"/>
    </row>
    <row r="20" spans="2:13" x14ac:dyDescent="0.25">
      <c r="L20" s="1" t="s">
        <v>114</v>
      </c>
      <c r="M20" s="46">
        <v>100000000</v>
      </c>
    </row>
    <row r="21" spans="2:13" x14ac:dyDescent="0.25">
      <c r="L21" s="1" t="s">
        <v>115</v>
      </c>
      <c r="M21" s="1"/>
    </row>
    <row r="22" spans="2:13" x14ac:dyDescent="0.25">
      <c r="L22" s="1" t="s">
        <v>116</v>
      </c>
      <c r="M22" s="1"/>
    </row>
  </sheetData>
  <mergeCells count="24">
    <mergeCell ref="B1:I2"/>
    <mergeCell ref="T6:U6"/>
    <mergeCell ref="T7:U7"/>
    <mergeCell ref="M13:O13"/>
    <mergeCell ref="L19:M19"/>
    <mergeCell ref="Q10:S10"/>
    <mergeCell ref="T3:U3"/>
    <mergeCell ref="T4:U5"/>
    <mergeCell ref="L1:U2"/>
    <mergeCell ref="M9:O9"/>
    <mergeCell ref="M10:O10"/>
    <mergeCell ref="Q9:S9"/>
    <mergeCell ref="M6:O6"/>
    <mergeCell ref="M3:O3"/>
    <mergeCell ref="M4:O4"/>
    <mergeCell ref="M5:O5"/>
    <mergeCell ref="Q6:S6"/>
    <mergeCell ref="Q3:S3"/>
    <mergeCell ref="Q4:S4"/>
    <mergeCell ref="Q5:S5"/>
    <mergeCell ref="M7:O7"/>
    <mergeCell ref="Q7:S7"/>
    <mergeCell ref="M11:O11"/>
    <mergeCell ref="M12:O12"/>
  </mergeCells>
  <conditionalFormatting sqref="Q10:S10">
    <cfRule type="containsText" dxfId="3" priority="1" operator="containsText" text="NO">
      <formula>NOT(ISERROR(SEARCH("NO",Q10)))</formula>
    </cfRule>
    <cfRule type="containsText" dxfId="2" priority="2" operator="containsText" text="Aprobado">
      <formula>NOT(ISERROR(SEARCH("Aprobado",Q10)))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89B6-772B-4C95-9160-ABEE6759C0B1}">
  <dimension ref="E3:N30"/>
  <sheetViews>
    <sheetView tabSelected="1" workbookViewId="0">
      <selection activeCell="O21" sqref="O21"/>
    </sheetView>
  </sheetViews>
  <sheetFormatPr baseColWidth="10" defaultRowHeight="15" x14ac:dyDescent="0.25"/>
  <cols>
    <col min="9" max="9" width="17.28515625" bestFit="1" customWidth="1"/>
  </cols>
  <sheetData>
    <row r="3" spans="5:14" ht="16.5" x14ac:dyDescent="0.3">
      <c r="E3" s="50"/>
      <c r="F3" s="50"/>
      <c r="G3" s="50"/>
      <c r="H3" s="50"/>
      <c r="I3" s="50"/>
      <c r="J3" s="50"/>
      <c r="K3" s="50"/>
      <c r="L3" s="50"/>
      <c r="M3" s="51"/>
    </row>
    <row r="4" spans="5:14" ht="16.5" x14ac:dyDescent="0.3">
      <c r="E4" s="50"/>
      <c r="F4" s="52" t="s">
        <v>118</v>
      </c>
      <c r="G4" s="52"/>
      <c r="H4" s="52"/>
      <c r="I4" s="52"/>
      <c r="J4" s="53"/>
      <c r="K4" s="53"/>
      <c r="L4" s="50"/>
      <c r="M4" s="51"/>
    </row>
    <row r="5" spans="5:14" ht="16.5" x14ac:dyDescent="0.3">
      <c r="E5" s="50"/>
      <c r="F5" s="50"/>
      <c r="G5" s="50"/>
      <c r="H5" s="54"/>
      <c r="I5" s="55" t="s">
        <v>32</v>
      </c>
      <c r="J5" s="56">
        <v>1</v>
      </c>
      <c r="K5" s="57"/>
      <c r="L5" s="50"/>
      <c r="M5" s="51"/>
    </row>
    <row r="6" spans="5:14" ht="16.5" x14ac:dyDescent="0.3">
      <c r="E6" s="50"/>
      <c r="F6" s="50"/>
      <c r="G6" s="50"/>
      <c r="H6" s="54"/>
      <c r="I6" s="58" t="s">
        <v>78</v>
      </c>
      <c r="J6" s="59" t="str">
        <f>IFERROR(VLOOKUP(J5,Tabla1[],2,0),"")</f>
        <v>Mateo</v>
      </c>
      <c r="K6" s="60"/>
      <c r="L6" s="50"/>
      <c r="M6" s="51"/>
    </row>
    <row r="7" spans="5:14" ht="16.5" x14ac:dyDescent="0.3">
      <c r="E7" s="50"/>
      <c r="F7" s="50"/>
      <c r="G7" s="50"/>
      <c r="H7" s="54"/>
      <c r="I7" s="61" t="s">
        <v>77</v>
      </c>
      <c r="J7" s="62" t="str">
        <f>IFERROR(VLOOKUP(J5,Tabla1[],3,0),"")</f>
        <v>Mendoza</v>
      </c>
      <c r="K7" s="63"/>
      <c r="L7" s="50"/>
      <c r="M7" s="51"/>
    </row>
    <row r="8" spans="5:14" ht="16.5" x14ac:dyDescent="0.3">
      <c r="E8" s="50"/>
      <c r="F8" s="50"/>
      <c r="G8" s="50"/>
      <c r="H8" s="54"/>
      <c r="I8" s="58" t="s">
        <v>76</v>
      </c>
      <c r="J8" s="59">
        <f>IFERROR(VLOOKUP(J5,Tabla1[],5,0),"")</f>
        <v>300123456</v>
      </c>
      <c r="K8" s="60"/>
      <c r="L8" s="50"/>
      <c r="M8" s="51"/>
    </row>
    <row r="9" spans="5:14" ht="16.5" x14ac:dyDescent="0.3">
      <c r="E9" s="50"/>
      <c r="F9" s="50"/>
      <c r="G9" s="50"/>
      <c r="H9" s="54"/>
      <c r="I9" s="61" t="s">
        <v>74</v>
      </c>
      <c r="J9" s="62">
        <f>IFERROR(VLOOKUP(J5,Tabla1[],4,0),"")</f>
        <v>1113123456</v>
      </c>
      <c r="K9" s="63"/>
      <c r="L9" s="50"/>
      <c r="M9" s="51"/>
    </row>
    <row r="10" spans="5:14" ht="16.5" x14ac:dyDescent="0.3">
      <c r="E10" s="50"/>
      <c r="F10" s="50"/>
      <c r="G10" s="50"/>
      <c r="H10" s="54"/>
      <c r="I10" s="58" t="s">
        <v>79</v>
      </c>
      <c r="J10" s="59">
        <f>IFERROR(VLOOKUP(J5,Tabla1[],7,0),"")</f>
        <v>2000000</v>
      </c>
      <c r="K10" s="60"/>
      <c r="L10" s="50"/>
      <c r="M10" s="51"/>
    </row>
    <row r="11" spans="5:14" ht="16.5" x14ac:dyDescent="0.3">
      <c r="E11" s="50"/>
      <c r="F11" s="54"/>
      <c r="G11" s="54"/>
      <c r="H11" s="54"/>
      <c r="I11" s="64" t="s">
        <v>82</v>
      </c>
      <c r="J11" s="65">
        <f ca="1">RANDBETWEEN(15,30)</f>
        <v>19</v>
      </c>
      <c r="K11" s="66"/>
      <c r="L11" s="50"/>
      <c r="M11" s="51"/>
    </row>
    <row r="12" spans="5:14" ht="16.5" x14ac:dyDescent="0.3">
      <c r="E12" s="50"/>
      <c r="F12" s="67" t="s">
        <v>80</v>
      </c>
      <c r="G12" s="68"/>
      <c r="H12" s="69" t="str">
        <f>IFERROR(VLOOKUP(J5,Tabla1[],6,),"")</f>
        <v>Director General (CEO)</v>
      </c>
      <c r="I12" s="69"/>
      <c r="J12" s="70"/>
      <c r="K12" s="63"/>
      <c r="L12" s="50"/>
      <c r="M12" s="51"/>
    </row>
    <row r="13" spans="5:14" ht="16.5" x14ac:dyDescent="0.3">
      <c r="E13" s="50"/>
      <c r="F13" s="59" t="s">
        <v>119</v>
      </c>
      <c r="G13" s="71"/>
      <c r="H13" s="72">
        <f>IFERROR(VLOOKUP(J5,Tabla1[],7,),"")</f>
        <v>2000000</v>
      </c>
      <c r="I13" s="72"/>
      <c r="J13" s="72"/>
      <c r="K13" s="73"/>
      <c r="L13" s="50"/>
      <c r="M13" s="51"/>
    </row>
    <row r="14" spans="5:14" ht="16.5" x14ac:dyDescent="0.3">
      <c r="E14" s="50"/>
      <c r="F14" s="74" t="s">
        <v>82</v>
      </c>
      <c r="G14" s="75"/>
      <c r="H14" s="76">
        <f ca="1">IFERROR(H13/30*J11, 0)</f>
        <v>1266666.6666666667</v>
      </c>
      <c r="I14" s="76"/>
      <c r="J14" s="76"/>
      <c r="K14" s="77"/>
      <c r="L14" s="50"/>
      <c r="M14" s="51"/>
      <c r="N14" s="49"/>
    </row>
    <row r="15" spans="5:14" ht="16.5" x14ac:dyDescent="0.3">
      <c r="E15" s="50"/>
      <c r="F15" s="50"/>
      <c r="G15" s="50"/>
      <c r="H15" s="50"/>
      <c r="I15" s="50"/>
      <c r="J15" s="50"/>
      <c r="K15" s="50"/>
      <c r="L15" s="50"/>
      <c r="M15" s="51"/>
    </row>
    <row r="16" spans="5:14" ht="16.5" x14ac:dyDescent="0.3">
      <c r="E16" s="50"/>
      <c r="F16" s="78" t="s">
        <v>120</v>
      </c>
      <c r="G16" s="79"/>
      <c r="H16" s="80"/>
      <c r="I16" s="78" t="s">
        <v>121</v>
      </c>
      <c r="J16" s="79"/>
      <c r="K16" s="80"/>
      <c r="L16" s="50"/>
      <c r="M16" s="51"/>
    </row>
    <row r="17" spans="5:13" ht="16.5" x14ac:dyDescent="0.3">
      <c r="E17" s="50"/>
      <c r="F17" s="81" t="s">
        <v>86</v>
      </c>
      <c r="G17" s="82">
        <f ca="1">H14-(H14*8%)</f>
        <v>1165333.3333333335</v>
      </c>
      <c r="H17" s="83"/>
      <c r="I17" s="84" t="s">
        <v>122</v>
      </c>
      <c r="J17" s="85">
        <f ca="1">IF(J11&gt;=20,G21+250000,G21+0)</f>
        <v>923060.53333333344</v>
      </c>
      <c r="K17" s="86"/>
      <c r="L17" s="50"/>
      <c r="M17" s="51"/>
    </row>
    <row r="18" spans="5:13" ht="16.5" x14ac:dyDescent="0.3">
      <c r="E18" s="50"/>
      <c r="F18" s="87"/>
      <c r="G18" s="88"/>
      <c r="H18" s="89"/>
      <c r="I18" s="87"/>
      <c r="J18" s="90"/>
      <c r="K18" s="89"/>
      <c r="L18" s="50"/>
      <c r="M18" s="51"/>
    </row>
    <row r="19" spans="5:13" ht="16.5" x14ac:dyDescent="0.3">
      <c r="E19" s="50"/>
      <c r="F19" s="91" t="s">
        <v>87</v>
      </c>
      <c r="G19" s="92">
        <f ca="1">G17-(G17*11%)</f>
        <v>1037146.6666666667</v>
      </c>
      <c r="H19" s="93"/>
      <c r="I19" s="91" t="s">
        <v>123</v>
      </c>
      <c r="J19" s="94">
        <f ca="1">J17+(250000/30*J11)</f>
        <v>1081393.8666666667</v>
      </c>
      <c r="K19" s="93"/>
      <c r="L19" s="50"/>
      <c r="M19" s="51"/>
    </row>
    <row r="20" spans="5:13" ht="16.5" x14ac:dyDescent="0.3">
      <c r="E20" s="50"/>
      <c r="F20" s="87"/>
      <c r="G20" s="88"/>
      <c r="H20" s="89"/>
      <c r="I20" s="87"/>
      <c r="J20" s="90"/>
      <c r="K20" s="89"/>
      <c r="L20" s="50"/>
      <c r="M20" s="51"/>
    </row>
    <row r="21" spans="5:13" ht="16.5" x14ac:dyDescent="0.3">
      <c r="E21" s="50"/>
      <c r="F21" s="91" t="s">
        <v>126</v>
      </c>
      <c r="G21" s="92">
        <f ca="1">IF(H13&gt;=2000000,G19-(G19*11%),0)</f>
        <v>923060.53333333344</v>
      </c>
      <c r="H21" s="93"/>
      <c r="I21" s="91"/>
      <c r="J21" s="70"/>
      <c r="K21" s="63"/>
      <c r="L21" s="50"/>
      <c r="M21" s="51"/>
    </row>
    <row r="22" spans="5:13" ht="16.5" x14ac:dyDescent="0.3">
      <c r="E22" s="50"/>
      <c r="F22" s="87"/>
      <c r="G22" s="88"/>
      <c r="H22" s="89"/>
      <c r="I22" s="87"/>
      <c r="J22" s="90"/>
      <c r="K22" s="89"/>
      <c r="L22" s="50"/>
      <c r="M22" s="51"/>
    </row>
    <row r="23" spans="5:13" ht="16.5" x14ac:dyDescent="0.3">
      <c r="E23" s="50"/>
      <c r="F23" s="91"/>
      <c r="G23" s="62"/>
      <c r="H23" s="63"/>
      <c r="I23" s="91"/>
      <c r="J23" s="70"/>
      <c r="K23" s="63"/>
      <c r="L23" s="50"/>
      <c r="M23" s="51"/>
    </row>
    <row r="24" spans="5:13" ht="16.5" x14ac:dyDescent="0.3">
      <c r="E24" s="50"/>
      <c r="F24" s="95"/>
      <c r="G24" s="96"/>
      <c r="H24" s="97"/>
      <c r="I24" s="87"/>
      <c r="J24" s="90"/>
      <c r="K24" s="89"/>
      <c r="L24" s="50"/>
      <c r="M24" s="51"/>
    </row>
    <row r="25" spans="5:13" ht="16.5" x14ac:dyDescent="0.3">
      <c r="E25" s="50"/>
      <c r="F25" s="54"/>
      <c r="G25" s="70"/>
      <c r="H25" s="70"/>
      <c r="I25" s="84" t="s">
        <v>124</v>
      </c>
      <c r="J25" s="98">
        <f ca="1">J19</f>
        <v>1081393.8666666667</v>
      </c>
      <c r="K25" s="57"/>
      <c r="L25" s="50"/>
      <c r="M25" s="51"/>
    </row>
    <row r="26" spans="5:13" ht="16.5" x14ac:dyDescent="0.3">
      <c r="E26" s="50"/>
      <c r="F26" s="50"/>
      <c r="G26" s="50"/>
      <c r="H26" s="50"/>
      <c r="I26" s="99" t="s">
        <v>125</v>
      </c>
      <c r="J26" s="100" t="str">
        <f ca="1">IF(J25&gt;=2000000,"No se Aprueba","Aprobado")</f>
        <v>Aprobado</v>
      </c>
      <c r="K26" s="66"/>
      <c r="L26" s="50"/>
      <c r="M26" s="51"/>
    </row>
    <row r="27" spans="5:13" ht="16.5" x14ac:dyDescent="0.3">
      <c r="E27" s="50"/>
      <c r="F27" s="50"/>
      <c r="G27" s="50"/>
      <c r="H27" s="50"/>
      <c r="I27" s="50"/>
      <c r="J27" s="50"/>
      <c r="K27" s="50"/>
      <c r="L27" s="50"/>
      <c r="M27" s="51"/>
    </row>
    <row r="28" spans="5:13" ht="16.5" x14ac:dyDescent="0.3">
      <c r="E28" s="50"/>
      <c r="F28" s="50"/>
      <c r="G28" s="50"/>
      <c r="H28" s="50"/>
      <c r="I28" s="50"/>
      <c r="J28" s="50"/>
      <c r="K28" s="50"/>
      <c r="L28" s="50"/>
      <c r="M28" s="51"/>
    </row>
    <row r="29" spans="5:13" ht="16.5" x14ac:dyDescent="0.3">
      <c r="E29" s="50"/>
      <c r="F29" s="50"/>
      <c r="G29" s="50"/>
      <c r="H29" s="50"/>
      <c r="I29" s="50"/>
      <c r="J29" s="50"/>
      <c r="K29" s="50"/>
      <c r="L29" s="50"/>
      <c r="M29" s="51"/>
    </row>
    <row r="30" spans="5:13" ht="16.5" x14ac:dyDescent="0.3">
      <c r="E30" s="50"/>
      <c r="F30" s="50"/>
      <c r="G30" s="50"/>
      <c r="H30" s="50"/>
      <c r="I30" s="50"/>
      <c r="J30" s="50"/>
      <c r="K30" s="50"/>
      <c r="L30" s="50"/>
      <c r="M30" s="51"/>
    </row>
  </sheetData>
  <mergeCells count="35">
    <mergeCell ref="J26:K26"/>
    <mergeCell ref="J20:K20"/>
    <mergeCell ref="J21:K21"/>
    <mergeCell ref="J22:K22"/>
    <mergeCell ref="J23:K23"/>
    <mergeCell ref="J24:K24"/>
    <mergeCell ref="J25:K25"/>
    <mergeCell ref="G20:H20"/>
    <mergeCell ref="G21:H21"/>
    <mergeCell ref="G22:H22"/>
    <mergeCell ref="G23:H23"/>
    <mergeCell ref="G24:H24"/>
    <mergeCell ref="G25:H25"/>
    <mergeCell ref="H14:K14"/>
    <mergeCell ref="F16:H16"/>
    <mergeCell ref="I16:K16"/>
    <mergeCell ref="G17:H17"/>
    <mergeCell ref="G18:H18"/>
    <mergeCell ref="G19:H19"/>
    <mergeCell ref="J17:K17"/>
    <mergeCell ref="J18:K18"/>
    <mergeCell ref="J19:K19"/>
    <mergeCell ref="J10:K10"/>
    <mergeCell ref="J11:K11"/>
    <mergeCell ref="F12:G12"/>
    <mergeCell ref="F13:G13"/>
    <mergeCell ref="F14:G14"/>
    <mergeCell ref="H12:K12"/>
    <mergeCell ref="H13:K13"/>
    <mergeCell ref="F4:I4"/>
    <mergeCell ref="J5:K5"/>
    <mergeCell ref="J6:K6"/>
    <mergeCell ref="J7:K7"/>
    <mergeCell ref="J8:K8"/>
    <mergeCell ref="J9:K9"/>
  </mergeCells>
  <conditionalFormatting sqref="J26:K26">
    <cfRule type="containsText" dxfId="0" priority="2" operator="containsText" text="Aprobado">
      <formula>NOT(ISERROR(SEARCH("Aprobado",J26)))</formula>
    </cfRule>
    <cfRule type="containsText" dxfId="1" priority="1" operator="containsText" text="No">
      <formula>NOT(ISERROR(SEARCH("No",J26)))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Practica Si 5 Ejercicios</vt:lpstr>
      <vt:lpstr>SI anidado</vt:lpstr>
      <vt:lpstr>Buscar V</vt:lpstr>
      <vt:lpstr>Desprendible de Nomina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2026-07-22T23:39:56Z</dcterms:created>
  <dcterms:modified xsi:type="dcterms:W3CDTF">2026-07-30T02:20:09Z</dcterms:modified>
</cp:coreProperties>
</file>