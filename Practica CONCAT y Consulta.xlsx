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ocuments\System 32\"/>
    </mc:Choice>
  </mc:AlternateContent>
  <xr:revisionPtr revIDLastSave="0" documentId="13_ncr:1_{C05AA7DA-1E8A-4F27-9988-8725C8C9D54F}" xr6:coauthVersionLast="36" xr6:coauthVersionMax="36" xr10:uidLastSave="{00000000-0000-0000-0000-000000000000}"/>
  <bookViews>
    <workbookView xWindow="0" yWindow="0" windowWidth="28800" windowHeight="12225" activeTab="3" xr2:uid="{CA14534E-6944-4D2D-A5F8-1216855713E8}"/>
  </bookViews>
  <sheets>
    <sheet name="CLIENTES" sheetId="2" r:id="rId1"/>
    <sheet name="CONSULTA" sheetId="3" r:id="rId2"/>
    <sheet name="CONSULTA 2" sheetId="4" r:id="rId3"/>
    <sheet name="ACT. 270526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4" l="1"/>
  <c r="H16" i="4"/>
  <c r="K31" i="5"/>
  <c r="I31" i="5"/>
  <c r="I23" i="5"/>
  <c r="I22" i="5"/>
  <c r="F11" i="5"/>
  <c r="J12" i="5"/>
  <c r="J11" i="5"/>
  <c r="E19" i="5"/>
  <c r="E23" i="5"/>
  <c r="E27" i="5"/>
  <c r="E20" i="5"/>
  <c r="E22" i="5"/>
  <c r="E24" i="5"/>
  <c r="E26" i="5"/>
  <c r="E21" i="5"/>
  <c r="E25" i="5"/>
  <c r="E18" i="5"/>
  <c r="I6" i="5"/>
  <c r="I5" i="5"/>
  <c r="I4" i="5"/>
  <c r="F17" i="4"/>
  <c r="F18" i="4"/>
  <c r="F19" i="4"/>
  <c r="F20" i="4"/>
  <c r="F21" i="4"/>
  <c r="F22" i="4"/>
  <c r="F23" i="4"/>
  <c r="F24" i="4"/>
  <c r="F25" i="4"/>
  <c r="F16" i="4"/>
  <c r="F6" i="4"/>
  <c r="H6" i="4"/>
  <c r="J9" i="4"/>
  <c r="J3" i="4"/>
  <c r="H9" i="4"/>
  <c r="F9" i="4"/>
  <c r="H3" i="4"/>
  <c r="F3" i="4"/>
  <c r="I19" i="5" l="1"/>
  <c r="I17" i="5"/>
  <c r="I18" i="5"/>
  <c r="C15" i="3"/>
  <c r="F3" i="3"/>
  <c r="D9" i="3"/>
  <c r="D7" i="3"/>
  <c r="D5" i="3"/>
  <c r="F2" i="2"/>
  <c r="C13" i="3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D12" i="3"/>
  <c r="F7" i="3" l="1"/>
</calcChain>
</file>

<file path=xl/sharedStrings.xml><?xml version="1.0" encoding="utf-8"?>
<sst xmlns="http://schemas.openxmlformats.org/spreadsheetml/2006/main" count="250" uniqueCount="143">
  <si>
    <t>ID</t>
  </si>
  <si>
    <t>NOMBRE</t>
  </si>
  <si>
    <t>APELLIDO</t>
  </si>
  <si>
    <t>CIUDAD</t>
  </si>
  <si>
    <t>TELEFONO</t>
  </si>
  <si>
    <t>C1</t>
  </si>
  <si>
    <t>MARIO</t>
  </si>
  <si>
    <t>RIVERO</t>
  </si>
  <si>
    <t>PALMIRA</t>
  </si>
  <si>
    <t>C2</t>
  </si>
  <si>
    <t>PEDRO</t>
  </si>
  <si>
    <t>SANCHEZ</t>
  </si>
  <si>
    <t>CALI</t>
  </si>
  <si>
    <t>C3</t>
  </si>
  <si>
    <t>ANA</t>
  </si>
  <si>
    <t>GARCIA</t>
  </si>
  <si>
    <t>BUGA</t>
  </si>
  <si>
    <t>C4</t>
  </si>
  <si>
    <t>JOSE</t>
  </si>
  <si>
    <t>LOPÉZ</t>
  </si>
  <si>
    <t>TULUA</t>
  </si>
  <si>
    <t>C5</t>
  </si>
  <si>
    <t>NEHOMAR</t>
  </si>
  <si>
    <t>HERNANDEZ</t>
  </si>
  <si>
    <t>CERRITO</t>
  </si>
  <si>
    <t>C6</t>
  </si>
  <si>
    <t>XIOMARA</t>
  </si>
  <si>
    <t>GONZALEZ</t>
  </si>
  <si>
    <t>C7</t>
  </si>
  <si>
    <t>LEIDY</t>
  </si>
  <si>
    <t>PEREZ</t>
  </si>
  <si>
    <t>C8</t>
  </si>
  <si>
    <t>JHOANA</t>
  </si>
  <si>
    <t>C9</t>
  </si>
  <si>
    <t>JEIDRY</t>
  </si>
  <si>
    <t>RAMIREZ</t>
  </si>
  <si>
    <t>C10</t>
  </si>
  <si>
    <t>MARIA</t>
  </si>
  <si>
    <t>TORRES</t>
  </si>
  <si>
    <t>C11</t>
  </si>
  <si>
    <t>DERLING</t>
  </si>
  <si>
    <t>FLORES</t>
  </si>
  <si>
    <t>C12</t>
  </si>
  <si>
    <t>EVELIN</t>
  </si>
  <si>
    <t>RIVERA</t>
  </si>
  <si>
    <t>C13</t>
  </si>
  <si>
    <t>CRISTIAN</t>
  </si>
  <si>
    <t>GOMEZ</t>
  </si>
  <si>
    <t>C14</t>
  </si>
  <si>
    <t>ALEJANDRO</t>
  </si>
  <si>
    <t>DIAZ</t>
  </si>
  <si>
    <t>C15</t>
  </si>
  <si>
    <t>ALEJADRA</t>
  </si>
  <si>
    <t>VARGAS</t>
  </si>
  <si>
    <t>C16</t>
  </si>
  <si>
    <t>SEBASTIAN</t>
  </si>
  <si>
    <t>CASTILLO</t>
  </si>
  <si>
    <t>C17</t>
  </si>
  <si>
    <t>ESTEBAN</t>
  </si>
  <si>
    <t>CRUZ</t>
  </si>
  <si>
    <t>C18</t>
  </si>
  <si>
    <t>JUAN</t>
  </si>
  <si>
    <t>MORALES</t>
  </si>
  <si>
    <t>C19</t>
  </si>
  <si>
    <t>SOFIA</t>
  </si>
  <si>
    <t>ORTIZ</t>
  </si>
  <si>
    <t>C20</t>
  </si>
  <si>
    <t>VALENTINA</t>
  </si>
  <si>
    <t>NAVARRO</t>
  </si>
  <si>
    <t>CORREOS</t>
  </si>
  <si>
    <t>CORREO</t>
  </si>
  <si>
    <t>CONSULTA DATOS DEL CLIENTE</t>
  </si>
  <si>
    <t>NOMBRE COMPLETO</t>
  </si>
  <si>
    <t>MARIO RIVERO</t>
  </si>
  <si>
    <t>PEDRO SANCHEZ</t>
  </si>
  <si>
    <t>ANA GARCIA</t>
  </si>
  <si>
    <t>JOSE LOPÉZ</t>
  </si>
  <si>
    <t>NEHOMAR HERNANDEZ</t>
  </si>
  <si>
    <t>XIOMARA GONZALEZ</t>
  </si>
  <si>
    <t>LEIDY PEREZ</t>
  </si>
  <si>
    <t>JHOANA SANCHEZ</t>
  </si>
  <si>
    <t>JEIDRY RAMIREZ</t>
  </si>
  <si>
    <t>MARIA TORRES</t>
  </si>
  <si>
    <t>DERLING FLORES</t>
  </si>
  <si>
    <t>EVELIN RIVERA</t>
  </si>
  <si>
    <t>CRISTIAN GOMEZ</t>
  </si>
  <si>
    <t>ALEJANDRO DIAZ</t>
  </si>
  <si>
    <t>ALEJADRA VARGAS</t>
  </si>
  <si>
    <t>SEBASTIAN CASTILLO</t>
  </si>
  <si>
    <t>ESTEBAN CRUZ</t>
  </si>
  <si>
    <t>JUAN MORALES</t>
  </si>
  <si>
    <t>SOFIA ORTIZ</t>
  </si>
  <si>
    <t>VALENTINA NAVARRO</t>
  </si>
  <si>
    <t>SALARIO</t>
  </si>
  <si>
    <t>SALARIO MAX</t>
  </si>
  <si>
    <t>SALARIO MIN</t>
  </si>
  <si>
    <t>SALARIO PROMEDIO</t>
  </si>
  <si>
    <t>PRESTAMO</t>
  </si>
  <si>
    <t>APROBADO</t>
  </si>
  <si>
    <t>RECHAZADO</t>
  </si>
  <si>
    <t>CANTIDAD</t>
  </si>
  <si>
    <t>CANTIDAD APROBADOS</t>
  </si>
  <si>
    <t>CANTIDAD RECHAZADOS</t>
  </si>
  <si>
    <t>SALARIOS COLOCADOS</t>
  </si>
  <si>
    <t>NOTAS</t>
  </si>
  <si>
    <t>RESULTADO</t>
  </si>
  <si>
    <t>LUNES</t>
  </si>
  <si>
    <t>MARTES</t>
  </si>
  <si>
    <t>MIÉRCOLES</t>
  </si>
  <si>
    <t>JUEVES</t>
  </si>
  <si>
    <t>VIERNES</t>
  </si>
  <si>
    <t>SÁBADO</t>
  </si>
  <si>
    <t>D1</t>
  </si>
  <si>
    <t>ARA</t>
  </si>
  <si>
    <t>ÉXITO</t>
  </si>
  <si>
    <t>SUPER INTER</t>
  </si>
  <si>
    <t>DISTRIBUIDORA ARROZ ROA</t>
  </si>
  <si>
    <t>MES 1</t>
  </si>
  <si>
    <t>MES 2</t>
  </si>
  <si>
    <t>MES 3</t>
  </si>
  <si>
    <t>MES 4</t>
  </si>
  <si>
    <t>MES 5</t>
  </si>
  <si>
    <t>MES 6</t>
  </si>
  <si>
    <t>TOTAL VENTAS</t>
  </si>
  <si>
    <t>PRODUCTOS</t>
  </si>
  <si>
    <t>VENTAS</t>
  </si>
  <si>
    <t>ARROZ</t>
  </si>
  <si>
    <t>LECHE</t>
  </si>
  <si>
    <t>PAPA</t>
  </si>
  <si>
    <t>LENTEJAS</t>
  </si>
  <si>
    <t>NOTA MAS ALTA</t>
  </si>
  <si>
    <t>APROBADOS</t>
  </si>
  <si>
    <t>NO APROBADOS</t>
  </si>
  <si>
    <t>PRODUCTO</t>
  </si>
  <si>
    <t>TODOS LOS PRODUCTOS</t>
  </si>
  <si>
    <t>APRENDIZ</t>
  </si>
  <si>
    <t>CUANTOS DE ESA CIUDAD</t>
  </si>
  <si>
    <t>DIAS DE LLUVIA</t>
  </si>
  <si>
    <t>DOMINGO</t>
  </si>
  <si>
    <t>DIAS QUE LLOVIO</t>
  </si>
  <si>
    <t>DIAS SIN LLUVIA</t>
  </si>
  <si>
    <t>TOTAL APROBADO</t>
  </si>
  <si>
    <t>TOTAL NO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</si>
</sst>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1" xfId="0" applyFont="1" applyFill="1" applyBorder="1" applyAlignment="1"/>
    <xf numFmtId="0" fontId="1" fillId="2" borderId="4" xfId="0" applyFont="1" applyFill="1" applyBorder="1" applyAlignment="1"/>
    <xf numFmtId="0" fontId="0" fillId="3" borderId="5" xfId="0" applyFont="1" applyFill="1" applyBorder="1" applyAlignment="1"/>
    <xf numFmtId="0" fontId="0" fillId="3" borderId="6" xfId="0" applyFont="1" applyFill="1" applyBorder="1" applyAlignment="1"/>
    <xf numFmtId="0" fontId="1" fillId="2" borderId="7" xfId="0" applyFont="1" applyFill="1" applyBorder="1" applyAlignment="1"/>
    <xf numFmtId="0" fontId="0" fillId="3" borderId="8" xfId="0" applyFont="1" applyFill="1" applyBorder="1" applyAlignment="1"/>
    <xf numFmtId="0" fontId="0" fillId="3" borderId="9" xfId="0" applyFont="1" applyFill="1" applyBorder="1" applyAlignment="1"/>
    <xf numFmtId="0" fontId="0" fillId="3" borderId="2" xfId="0" applyFont="1" applyFill="1" applyBorder="1" applyAlignment="1"/>
    <xf numFmtId="0" fontId="0" fillId="3" borderId="10" xfId="0" applyFont="1" applyFill="1" applyBorder="1" applyAlignment="1"/>
    <xf numFmtId="0" fontId="6" fillId="2" borderId="10" xfId="0" applyFont="1" applyFill="1" applyBorder="1" applyAlignment="1"/>
    <xf numFmtId="0" fontId="6" fillId="2" borderId="9" xfId="0" applyFont="1" applyFill="1" applyBorder="1" applyAlignment="1"/>
    <xf numFmtId="0" fontId="6" fillId="2" borderId="8" xfId="0" applyFont="1" applyFill="1" applyBorder="1" applyAlignment="1"/>
    <xf numFmtId="0" fontId="1" fillId="2" borderId="10" xfId="0" applyFont="1" applyFill="1" applyBorder="1" applyAlignment="1"/>
    <xf numFmtId="0" fontId="0" fillId="0" borderId="10" xfId="0" applyBorder="1"/>
    <xf numFmtId="0" fontId="0" fillId="0" borderId="10" xfId="0" applyBorder="1" applyAlignment="1"/>
    <xf numFmtId="0" fontId="0" fillId="2" borderId="10" xfId="0" applyFill="1" applyBorder="1"/>
    <xf numFmtId="0" fontId="0" fillId="0" borderId="0" xfId="0" applyAlignment="1"/>
    <xf numFmtId="0" fontId="0" fillId="8" borderId="10" xfId="0" applyFont="1" applyFill="1" applyBorder="1"/>
    <xf numFmtId="0" fontId="6" fillId="2" borderId="19" xfId="0" applyFont="1" applyFill="1" applyBorder="1"/>
    <xf numFmtId="0" fontId="6" fillId="2" borderId="12" xfId="0" applyFont="1" applyFill="1" applyBorder="1"/>
    <xf numFmtId="0" fontId="0" fillId="8" borderId="19" xfId="0" applyFont="1" applyFill="1" applyBorder="1"/>
    <xf numFmtId="0" fontId="0" fillId="8" borderId="12" xfId="0" applyFont="1" applyFill="1" applyBorder="1"/>
    <xf numFmtId="0" fontId="0" fillId="0" borderId="19" xfId="0" applyFont="1" applyBorder="1"/>
    <xf numFmtId="0" fontId="0" fillId="0" borderId="12" xfId="0" applyFont="1" applyBorder="1"/>
    <xf numFmtId="0" fontId="0" fillId="2" borderId="10" xfId="0" applyFill="1" applyBorder="1" applyAlignment="1"/>
    <xf numFmtId="0" fontId="0" fillId="3" borderId="15" xfId="0" applyFont="1" applyFill="1" applyBorder="1" applyAlignment="1"/>
    <xf numFmtId="0" fontId="0" fillId="3" borderId="14" xfId="0" applyFont="1" applyFill="1" applyBorder="1" applyAlignment="1"/>
    <xf numFmtId="0" fontId="6" fillId="2" borderId="17" xfId="0" applyFont="1" applyFill="1" applyBorder="1" applyAlignment="1"/>
    <xf numFmtId="0" fontId="6" fillId="2" borderId="11" xfId="0" applyFont="1" applyFill="1" applyBorder="1" applyAlignment="1"/>
    <xf numFmtId="0" fontId="6" fillId="2" borderId="16" xfId="0" applyFont="1" applyFill="1" applyBorder="1" applyAlignment="1"/>
    <xf numFmtId="0" fontId="0" fillId="3" borderId="18" xfId="0" applyFont="1" applyFill="1" applyBorder="1" applyAlignment="1"/>
    <xf numFmtId="0" fontId="0" fillId="3" borderId="12" xfId="0" applyFont="1" applyFill="1" applyBorder="1" applyAlignment="1"/>
    <xf numFmtId="0" fontId="0" fillId="3" borderId="19" xfId="0" applyFont="1" applyFill="1" applyBorder="1" applyAlignment="1"/>
    <xf numFmtId="0" fontId="3" fillId="7" borderId="10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22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6" borderId="10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3" borderId="14" xfId="0" applyFont="1" applyFill="1" applyBorder="1" applyAlignment="1">
      <alignment horizontal="center"/>
    </xf>
    <xf numFmtId="0" fontId="0" fillId="3" borderId="1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 tint="4.9989318521683403E-2"/>
        </left>
        <right/>
        <top style="thin">
          <color theme="1" tint="4.9989318521683403E-2"/>
        </top>
        <bottom style="thin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</border>
    </dxf>
    <dxf>
      <border outline="0">
        <top style="thin">
          <color theme="1" tint="4.9989318521683403E-2"/>
        </top>
      </border>
    </dxf>
    <dxf>
      <border outline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1" tint="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 tint="4.9989318521683403E-2"/>
        </left>
        <right style="thin">
          <color theme="1" tint="4.9989318521683403E-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2</xdr:row>
      <xdr:rowOff>95250</xdr:rowOff>
    </xdr:from>
    <xdr:to>
      <xdr:col>2</xdr:col>
      <xdr:colOff>47625</xdr:colOff>
      <xdr:row>7</xdr:row>
      <xdr:rowOff>57150</xdr:rowOff>
    </xdr:to>
    <xdr:pic>
      <xdr:nvPicPr>
        <xdr:cNvPr id="3" name="Gráfico 2" descr="Bebé">
          <a:extLst>
            <a:ext uri="{FF2B5EF4-FFF2-40B4-BE49-F238E27FC236}">
              <a16:creationId xmlns:a16="http://schemas.microsoft.com/office/drawing/2014/main" id="{8DBFB72D-8A68-4586-8837-DADDC653C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7225" y="4762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578625</xdr:colOff>
      <xdr:row>6</xdr:row>
      <xdr:rowOff>188100</xdr:rowOff>
    </xdr:from>
    <xdr:to>
      <xdr:col>1</xdr:col>
      <xdr:colOff>731025</xdr:colOff>
      <xdr:row>11</xdr:row>
      <xdr:rowOff>150000</xdr:rowOff>
    </xdr:to>
    <xdr:pic>
      <xdr:nvPicPr>
        <xdr:cNvPr id="5" name="Gráfico 4" descr="Bebé gateando">
          <a:extLst>
            <a:ext uri="{FF2B5EF4-FFF2-40B4-BE49-F238E27FC236}">
              <a16:creationId xmlns:a16="http://schemas.microsoft.com/office/drawing/2014/main" id="{20C11808-BDA9-4ADD-87A0-ECABAD2C4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8625" y="13311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6</xdr:row>
      <xdr:rowOff>159525</xdr:rowOff>
    </xdr:from>
    <xdr:to>
      <xdr:col>8</xdr:col>
      <xdr:colOff>311925</xdr:colOff>
      <xdr:row>11</xdr:row>
      <xdr:rowOff>121425</xdr:rowOff>
    </xdr:to>
    <xdr:pic>
      <xdr:nvPicPr>
        <xdr:cNvPr id="6" name="Gráfico 5" descr="Bebé gateando">
          <a:extLst>
            <a:ext uri="{FF2B5EF4-FFF2-40B4-BE49-F238E27FC236}">
              <a16:creationId xmlns:a16="http://schemas.microsoft.com/office/drawing/2014/main" id="{C2824600-586A-4BDD-A0E2-FE44A0D4C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7086600" y="1302525"/>
          <a:ext cx="959625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695325</xdr:colOff>
      <xdr:row>2</xdr:row>
      <xdr:rowOff>171450</xdr:rowOff>
    </xdr:from>
    <xdr:to>
      <xdr:col>8</xdr:col>
      <xdr:colOff>85725</xdr:colOff>
      <xdr:row>7</xdr:row>
      <xdr:rowOff>133350</xdr:rowOff>
    </xdr:to>
    <xdr:pic>
      <xdr:nvPicPr>
        <xdr:cNvPr id="7" name="Gráfico 6" descr="Bebé">
          <a:extLst>
            <a:ext uri="{FF2B5EF4-FFF2-40B4-BE49-F238E27FC236}">
              <a16:creationId xmlns:a16="http://schemas.microsoft.com/office/drawing/2014/main" id="{EB5E2B32-3D12-478C-890B-4D8332D3A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24600" y="552450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DB868-EDF4-4D4D-BD6D-AB2614444B8A}" name="CLIENTES" displayName="CLIENTES" ref="A1:G21" totalsRowShown="0" headerRowDxfId="21" dataDxfId="19" headerRowBorderDxfId="20" tableBorderDxfId="18" totalsRowBorderDxfId="17">
  <autoFilter ref="A1:G21" xr:uid="{F0272DF8-6AA9-4931-8226-AF8463A88F24}"/>
  <tableColumns count="7">
    <tableColumn id="1" xr3:uid="{84C44808-1F19-47BD-97C0-D61917C97ACA}" name="ID" dataDxfId="16"/>
    <tableColumn id="2" xr3:uid="{50ECDCA0-F361-4627-92F0-19304768A292}" name="NOMBRE" dataDxfId="15"/>
    <tableColumn id="3" xr3:uid="{5E1AB165-DCFB-4A59-9AF3-3506B7789AE0}" name="APELLIDO" dataDxfId="14"/>
    <tableColumn id="4" xr3:uid="{8C083C1E-A005-47BE-BB2B-45B73E2A0453}" name="CIUDAD" dataDxfId="13"/>
    <tableColumn id="5" xr3:uid="{A7920089-C7A6-43CD-885F-DAA7B5DC3CE0}" name="TELEFONO" dataDxfId="12"/>
    <tableColumn id="6" xr3:uid="{823B7E21-1B2D-4FB2-ACE7-AE479140D43F}" name="CORREOS" dataDxfId="11">
      <calculatedColumnFormula>CONCATENATE(CLIENTES[[#This Row],[NOMBRE]],CLIENTES[[#This Row],[APELLIDO]],CLIENTES[[#This Row],[TELEFONO]],CLIENTES[[#This Row],[ID]],"YAHOO.COM")</calculatedColumnFormula>
    </tableColumn>
    <tableColumn id="7" xr3:uid="{D76D1FE0-F4E2-464B-83C5-7B24FFE9CDC4}" name="NOMBRE COMPLETO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8B60EF-040B-4E96-A0CC-7CDD9D5164F1}" name="ESTUDIANTES" displayName="ESTUDIANTES" ref="A17:E27" totalsRowShown="0" headerRowDxfId="9" dataDxfId="7" headerRowBorderDxfId="8" tableBorderDxfId="6" totalsRowBorderDxfId="5">
  <autoFilter ref="A17:E27" xr:uid="{6BC9DF55-EEC6-4C77-BD4C-466927453105}"/>
  <tableColumns count="5">
    <tableColumn id="1" xr3:uid="{0DEC2886-286F-4171-A02F-19EDFBBDB248}" name="NOMBRE" dataDxfId="4"/>
    <tableColumn id="2" xr3:uid="{1A38BF59-400A-4123-A4C8-3A2F94936C06}" name="APELLIDO" dataDxfId="3"/>
    <tableColumn id="3" xr3:uid="{9825A8C7-36B9-4526-97CF-E4CC4F19DF4A}" name="CIUDAD" dataDxfId="2"/>
    <tableColumn id="4" xr3:uid="{FBAF055C-1C4D-4656-8862-392ACBB35876}" name="NOTAS" dataDxfId="1"/>
    <tableColumn id="5" xr3:uid="{4A46621B-3D5D-4F1E-AD40-1D4BA4F1CB2F}" name="RESULTADO" dataDxfId="0">
      <calculatedColumnFormula>IF(D18&gt;3,"APROBO","REPROBO")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6276-BC1C-48F2-BE4C-977045D48108}">
  <dimension ref="A1:G21"/>
  <sheetViews>
    <sheetView workbookViewId="0">
      <selection activeCell="E30" sqref="E30"/>
    </sheetView>
  </sheetViews>
  <sheetFormatPr baseColWidth="10" defaultRowHeight="15" x14ac:dyDescent="0.25"/>
  <cols>
    <col min="1" max="1" width="7.42578125" customWidth="1"/>
    <col min="2" max="2" width="16.42578125" customWidth="1"/>
    <col min="3" max="3" width="16.140625" customWidth="1"/>
    <col min="4" max="4" width="14.5703125" customWidth="1"/>
    <col min="5" max="5" width="17.28515625" customWidth="1"/>
    <col min="6" max="6" width="45.42578125" bestFit="1" customWidth="1"/>
    <col min="7" max="7" width="21.7109375" bestFit="1" customWidth="1"/>
  </cols>
  <sheetData>
    <row r="1" spans="1:7" x14ac:dyDescent="0.25">
      <c r="A1" s="3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69</v>
      </c>
      <c r="G1" s="1" t="s">
        <v>72</v>
      </c>
    </row>
    <row r="2" spans="1:7" x14ac:dyDescent="0.25">
      <c r="A2" s="4" t="s">
        <v>5</v>
      </c>
      <c r="B2" s="5" t="s">
        <v>6</v>
      </c>
      <c r="C2" s="5" t="s">
        <v>7</v>
      </c>
      <c r="D2" s="5" t="s">
        <v>8</v>
      </c>
      <c r="E2" s="6">
        <v>3051234000</v>
      </c>
      <c r="F2" s="10" t="str">
        <f>CONCATENATE(CLIENTES[[#This Row],[NOMBRE]],CLIENTES[[#This Row],[APELLIDO]],CLIENTES[[#This Row],[TELEFONO]],CLIENTES[[#This Row],[ID]],"YAHOO.COM")</f>
        <v>MARIORIVERO3051234000C1YAHOO.COM</v>
      </c>
      <c r="G2" s="5" t="s">
        <v>73</v>
      </c>
    </row>
    <row r="3" spans="1:7" x14ac:dyDescent="0.25">
      <c r="A3" s="4" t="s">
        <v>9</v>
      </c>
      <c r="B3" s="5" t="s">
        <v>10</v>
      </c>
      <c r="C3" s="5" t="s">
        <v>11</v>
      </c>
      <c r="D3" s="5" t="s">
        <v>12</v>
      </c>
      <c r="E3" s="6">
        <v>3051234001</v>
      </c>
      <c r="F3" s="5" t="str">
        <f>CONCATENATE(CLIENTES[[#This Row],[NOMBRE]],CLIENTES[[#This Row],[APELLIDO]],CLIENTES[[#This Row],[TELEFONO]],CLIENTES[[#This Row],[ID]],"YAHOO.COM")</f>
        <v>PEDROSANCHEZ3051234001C2YAHOO.COM</v>
      </c>
      <c r="G3" s="5" t="s">
        <v>74</v>
      </c>
    </row>
    <row r="4" spans="1:7" x14ac:dyDescent="0.25">
      <c r="A4" s="4" t="s">
        <v>13</v>
      </c>
      <c r="B4" s="5" t="s">
        <v>14</v>
      </c>
      <c r="C4" s="5" t="s">
        <v>15</v>
      </c>
      <c r="D4" s="5" t="s">
        <v>16</v>
      </c>
      <c r="E4" s="6">
        <v>3051234002</v>
      </c>
      <c r="F4" s="5" t="str">
        <f>CONCATENATE(CLIENTES[[#This Row],[NOMBRE]],CLIENTES[[#This Row],[APELLIDO]],CLIENTES[[#This Row],[TELEFONO]],CLIENTES[[#This Row],[ID]],"YAHOO.COM")</f>
        <v>ANAGARCIA3051234002C3YAHOO.COM</v>
      </c>
      <c r="G4" s="5" t="s">
        <v>75</v>
      </c>
    </row>
    <row r="5" spans="1:7" x14ac:dyDescent="0.25">
      <c r="A5" s="4" t="s">
        <v>17</v>
      </c>
      <c r="B5" s="5" t="s">
        <v>18</v>
      </c>
      <c r="C5" s="5" t="s">
        <v>19</v>
      </c>
      <c r="D5" s="5" t="s">
        <v>20</v>
      </c>
      <c r="E5" s="6">
        <v>3051234003</v>
      </c>
      <c r="F5" s="5" t="str">
        <f>CONCATENATE(CLIENTES[[#This Row],[NOMBRE]],CLIENTES[[#This Row],[APELLIDO]],CLIENTES[[#This Row],[TELEFONO]],CLIENTES[[#This Row],[ID]],"YAHOO.COM")</f>
        <v>JOSELOPÉZ3051234003C4YAHOO.COM</v>
      </c>
      <c r="G5" s="5" t="s">
        <v>76</v>
      </c>
    </row>
    <row r="6" spans="1:7" x14ac:dyDescent="0.25">
      <c r="A6" s="4" t="s">
        <v>21</v>
      </c>
      <c r="B6" s="5" t="s">
        <v>22</v>
      </c>
      <c r="C6" s="5" t="s">
        <v>23</v>
      </c>
      <c r="D6" s="5" t="s">
        <v>24</v>
      </c>
      <c r="E6" s="6">
        <v>3051234004</v>
      </c>
      <c r="F6" s="5" t="str">
        <f>CONCATENATE(CLIENTES[[#This Row],[NOMBRE]],CLIENTES[[#This Row],[APELLIDO]],CLIENTES[[#This Row],[TELEFONO]],CLIENTES[[#This Row],[ID]],"YAHOO.COM")</f>
        <v>NEHOMARHERNANDEZ3051234004C5YAHOO.COM</v>
      </c>
      <c r="G6" s="5" t="s">
        <v>77</v>
      </c>
    </row>
    <row r="7" spans="1:7" x14ac:dyDescent="0.25">
      <c r="A7" s="4" t="s">
        <v>25</v>
      </c>
      <c r="B7" s="5" t="s">
        <v>26</v>
      </c>
      <c r="C7" s="5" t="s">
        <v>27</v>
      </c>
      <c r="D7" s="5" t="s">
        <v>8</v>
      </c>
      <c r="E7" s="6">
        <v>3051234005</v>
      </c>
      <c r="F7" s="5" t="str">
        <f>CONCATENATE(CLIENTES[[#This Row],[NOMBRE]],CLIENTES[[#This Row],[APELLIDO]],CLIENTES[[#This Row],[TELEFONO]],CLIENTES[[#This Row],[ID]],"YAHOO.COM")</f>
        <v>XIOMARAGONZALEZ3051234005C6YAHOO.COM</v>
      </c>
      <c r="G7" s="5" t="s">
        <v>78</v>
      </c>
    </row>
    <row r="8" spans="1:7" x14ac:dyDescent="0.25">
      <c r="A8" s="4" t="s">
        <v>28</v>
      </c>
      <c r="B8" s="5" t="s">
        <v>29</v>
      </c>
      <c r="C8" s="5" t="s">
        <v>30</v>
      </c>
      <c r="D8" s="5" t="s">
        <v>12</v>
      </c>
      <c r="E8" s="6">
        <v>3051234006</v>
      </c>
      <c r="F8" s="5" t="str">
        <f>CONCATENATE(CLIENTES[[#This Row],[NOMBRE]],CLIENTES[[#This Row],[APELLIDO]],CLIENTES[[#This Row],[TELEFONO]],CLIENTES[[#This Row],[ID]],"YAHOO.COM")</f>
        <v>LEIDYPEREZ3051234006C7YAHOO.COM</v>
      </c>
      <c r="G8" s="5" t="s">
        <v>79</v>
      </c>
    </row>
    <row r="9" spans="1:7" x14ac:dyDescent="0.25">
      <c r="A9" s="4" t="s">
        <v>31</v>
      </c>
      <c r="B9" s="5" t="s">
        <v>32</v>
      </c>
      <c r="C9" s="5" t="s">
        <v>11</v>
      </c>
      <c r="D9" s="5" t="s">
        <v>16</v>
      </c>
      <c r="E9" s="6">
        <v>3051234007</v>
      </c>
      <c r="F9" s="5" t="str">
        <f>CONCATENATE(CLIENTES[[#This Row],[NOMBRE]],CLIENTES[[#This Row],[APELLIDO]],CLIENTES[[#This Row],[TELEFONO]],CLIENTES[[#This Row],[ID]],"YAHOO.COM")</f>
        <v>JHOANASANCHEZ3051234007C8YAHOO.COM</v>
      </c>
      <c r="G9" s="5" t="s">
        <v>80</v>
      </c>
    </row>
    <row r="10" spans="1:7" x14ac:dyDescent="0.25">
      <c r="A10" s="4" t="s">
        <v>33</v>
      </c>
      <c r="B10" s="5" t="s">
        <v>34</v>
      </c>
      <c r="C10" s="5" t="s">
        <v>35</v>
      </c>
      <c r="D10" s="5" t="s">
        <v>20</v>
      </c>
      <c r="E10" s="6">
        <v>3051234008</v>
      </c>
      <c r="F10" s="5" t="str">
        <f>CONCATENATE(CLIENTES[[#This Row],[NOMBRE]],CLIENTES[[#This Row],[APELLIDO]],CLIENTES[[#This Row],[TELEFONO]],CLIENTES[[#This Row],[ID]],"YAHOO.COM")</f>
        <v>JEIDRYRAMIREZ3051234008C9YAHOO.COM</v>
      </c>
      <c r="G10" s="5" t="s">
        <v>81</v>
      </c>
    </row>
    <row r="11" spans="1:7" x14ac:dyDescent="0.25">
      <c r="A11" s="4" t="s">
        <v>36</v>
      </c>
      <c r="B11" s="5" t="s">
        <v>37</v>
      </c>
      <c r="C11" s="5" t="s">
        <v>38</v>
      </c>
      <c r="D11" s="5" t="s">
        <v>24</v>
      </c>
      <c r="E11" s="6">
        <v>3051234009</v>
      </c>
      <c r="F11" s="5" t="str">
        <f>CONCATENATE(CLIENTES[[#This Row],[NOMBRE]],CLIENTES[[#This Row],[APELLIDO]],CLIENTES[[#This Row],[TELEFONO]],CLIENTES[[#This Row],[ID]],"YAHOO.COM")</f>
        <v>MARIATORRES3051234009C10YAHOO.COM</v>
      </c>
      <c r="G11" s="5" t="s">
        <v>82</v>
      </c>
    </row>
    <row r="12" spans="1:7" x14ac:dyDescent="0.25">
      <c r="A12" s="4" t="s">
        <v>39</v>
      </c>
      <c r="B12" s="5" t="s">
        <v>40</v>
      </c>
      <c r="C12" s="5" t="s">
        <v>41</v>
      </c>
      <c r="D12" s="5" t="s">
        <v>8</v>
      </c>
      <c r="E12" s="6">
        <v>3051234010</v>
      </c>
      <c r="F12" s="5" t="str">
        <f>CONCATENATE(CLIENTES[[#This Row],[NOMBRE]],CLIENTES[[#This Row],[APELLIDO]],CLIENTES[[#This Row],[TELEFONO]],CLIENTES[[#This Row],[ID]],"YAHOO.COM")</f>
        <v>DERLINGFLORES3051234010C11YAHOO.COM</v>
      </c>
      <c r="G12" s="5" t="s">
        <v>83</v>
      </c>
    </row>
    <row r="13" spans="1:7" x14ac:dyDescent="0.25">
      <c r="A13" s="4" t="s">
        <v>42</v>
      </c>
      <c r="B13" s="5" t="s">
        <v>43</v>
      </c>
      <c r="C13" s="5" t="s">
        <v>44</v>
      </c>
      <c r="D13" s="5" t="s">
        <v>12</v>
      </c>
      <c r="E13" s="6">
        <v>3051234011</v>
      </c>
      <c r="F13" s="5" t="str">
        <f>CONCATENATE(CLIENTES[[#This Row],[NOMBRE]],CLIENTES[[#This Row],[APELLIDO]],CLIENTES[[#This Row],[TELEFONO]],CLIENTES[[#This Row],[ID]],"YAHOO.COM")</f>
        <v>EVELINRIVERA3051234011C12YAHOO.COM</v>
      </c>
      <c r="G13" s="5" t="s">
        <v>84</v>
      </c>
    </row>
    <row r="14" spans="1:7" x14ac:dyDescent="0.25">
      <c r="A14" s="4" t="s">
        <v>45</v>
      </c>
      <c r="B14" s="5" t="s">
        <v>46</v>
      </c>
      <c r="C14" s="5" t="s">
        <v>47</v>
      </c>
      <c r="D14" s="5" t="s">
        <v>16</v>
      </c>
      <c r="E14" s="6">
        <v>3051234012</v>
      </c>
      <c r="F14" s="5" t="str">
        <f>CONCATENATE(CLIENTES[[#This Row],[NOMBRE]],CLIENTES[[#This Row],[APELLIDO]],CLIENTES[[#This Row],[TELEFONO]],CLIENTES[[#This Row],[ID]],"YAHOO.COM")</f>
        <v>CRISTIANGOMEZ3051234012C13YAHOO.COM</v>
      </c>
      <c r="G14" s="5" t="s">
        <v>85</v>
      </c>
    </row>
    <row r="15" spans="1:7" x14ac:dyDescent="0.25">
      <c r="A15" s="4" t="s">
        <v>48</v>
      </c>
      <c r="B15" s="5" t="s">
        <v>49</v>
      </c>
      <c r="C15" s="5" t="s">
        <v>50</v>
      </c>
      <c r="D15" s="5" t="s">
        <v>20</v>
      </c>
      <c r="E15" s="6">
        <v>3051234013</v>
      </c>
      <c r="F15" s="5" t="str">
        <f>CONCATENATE(CLIENTES[[#This Row],[NOMBRE]],CLIENTES[[#This Row],[APELLIDO]],CLIENTES[[#This Row],[TELEFONO]],CLIENTES[[#This Row],[ID]],"YAHOO.COM")</f>
        <v>ALEJANDRODIAZ3051234013C14YAHOO.COM</v>
      </c>
      <c r="G15" s="5" t="s">
        <v>86</v>
      </c>
    </row>
    <row r="16" spans="1:7" x14ac:dyDescent="0.25">
      <c r="A16" s="4" t="s">
        <v>51</v>
      </c>
      <c r="B16" s="5" t="s">
        <v>52</v>
      </c>
      <c r="C16" s="5" t="s">
        <v>53</v>
      </c>
      <c r="D16" s="5" t="s">
        <v>24</v>
      </c>
      <c r="E16" s="6">
        <v>3051234014</v>
      </c>
      <c r="F16" s="5" t="str">
        <f>CONCATENATE(CLIENTES[[#This Row],[NOMBRE]],CLIENTES[[#This Row],[APELLIDO]],CLIENTES[[#This Row],[TELEFONO]],CLIENTES[[#This Row],[ID]],"YAHOO.COM")</f>
        <v>ALEJADRAVARGAS3051234014C15YAHOO.COM</v>
      </c>
      <c r="G16" s="5" t="s">
        <v>87</v>
      </c>
    </row>
    <row r="17" spans="1:7" x14ac:dyDescent="0.25">
      <c r="A17" s="4" t="s">
        <v>54</v>
      </c>
      <c r="B17" s="5" t="s">
        <v>55</v>
      </c>
      <c r="C17" s="5" t="s">
        <v>56</v>
      </c>
      <c r="D17" s="5" t="s">
        <v>8</v>
      </c>
      <c r="E17" s="6">
        <v>3051234015</v>
      </c>
      <c r="F17" s="5" t="str">
        <f>CONCATENATE(CLIENTES[[#This Row],[NOMBRE]],CLIENTES[[#This Row],[APELLIDO]],CLIENTES[[#This Row],[TELEFONO]],CLIENTES[[#This Row],[ID]],"YAHOO.COM")</f>
        <v>SEBASTIANCASTILLO3051234015C16YAHOO.COM</v>
      </c>
      <c r="G17" s="5" t="s">
        <v>88</v>
      </c>
    </row>
    <row r="18" spans="1:7" x14ac:dyDescent="0.25">
      <c r="A18" s="4" t="s">
        <v>57</v>
      </c>
      <c r="B18" s="5" t="s">
        <v>58</v>
      </c>
      <c r="C18" s="5" t="s">
        <v>59</v>
      </c>
      <c r="D18" s="5" t="s">
        <v>12</v>
      </c>
      <c r="E18" s="6">
        <v>3051234016</v>
      </c>
      <c r="F18" s="5" t="str">
        <f>CONCATENATE(CLIENTES[[#This Row],[NOMBRE]],CLIENTES[[#This Row],[APELLIDO]],CLIENTES[[#This Row],[TELEFONO]],CLIENTES[[#This Row],[ID]],"YAHOO.COM")</f>
        <v>ESTEBANCRUZ3051234016C17YAHOO.COM</v>
      </c>
      <c r="G18" s="5" t="s">
        <v>89</v>
      </c>
    </row>
    <row r="19" spans="1:7" x14ac:dyDescent="0.25">
      <c r="A19" s="4" t="s">
        <v>60</v>
      </c>
      <c r="B19" s="5" t="s">
        <v>61</v>
      </c>
      <c r="C19" s="5" t="s">
        <v>62</v>
      </c>
      <c r="D19" s="5" t="s">
        <v>16</v>
      </c>
      <c r="E19" s="6">
        <v>3051234017</v>
      </c>
      <c r="F19" s="5" t="str">
        <f>CONCATENATE(CLIENTES[[#This Row],[NOMBRE]],CLIENTES[[#This Row],[APELLIDO]],CLIENTES[[#This Row],[TELEFONO]],CLIENTES[[#This Row],[ID]],"YAHOO.COM")</f>
        <v>JUANMORALES3051234017C18YAHOO.COM</v>
      </c>
      <c r="G19" s="5" t="s">
        <v>90</v>
      </c>
    </row>
    <row r="20" spans="1:7" x14ac:dyDescent="0.25">
      <c r="A20" s="4" t="s">
        <v>63</v>
      </c>
      <c r="B20" s="5" t="s">
        <v>64</v>
      </c>
      <c r="C20" s="5" t="s">
        <v>65</v>
      </c>
      <c r="D20" s="5" t="s">
        <v>20</v>
      </c>
      <c r="E20" s="6">
        <v>3051234018</v>
      </c>
      <c r="F20" s="5" t="str">
        <f>CONCATENATE(CLIENTES[[#This Row],[NOMBRE]],CLIENTES[[#This Row],[APELLIDO]],CLIENTES[[#This Row],[TELEFONO]],CLIENTES[[#This Row],[ID]],"YAHOO.COM")</f>
        <v>SOFIAORTIZ3051234018C19YAHOO.COM</v>
      </c>
      <c r="G20" s="5" t="s">
        <v>91</v>
      </c>
    </row>
    <row r="21" spans="1:7" x14ac:dyDescent="0.25">
      <c r="A21" s="7" t="s">
        <v>66</v>
      </c>
      <c r="B21" s="8" t="s">
        <v>67</v>
      </c>
      <c r="C21" s="8" t="s">
        <v>68</v>
      </c>
      <c r="D21" s="8" t="s">
        <v>24</v>
      </c>
      <c r="E21" s="9">
        <v>3051234019</v>
      </c>
      <c r="F21" s="8" t="str">
        <f>CONCATENATE(CLIENTES[[#This Row],[NOMBRE]],CLIENTES[[#This Row],[APELLIDO]],CLIENTES[[#This Row],[TELEFONO]],CLIENTES[[#This Row],[ID]],"YAHOO.COM")</f>
        <v>VALENTINANAVARRO3051234019C20YAHOO.COM</v>
      </c>
      <c r="G21" s="8" t="s">
        <v>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BCF6-EE6D-46BC-8631-D609104E44AC}">
  <dimension ref="B1:H17"/>
  <sheetViews>
    <sheetView workbookViewId="0">
      <selection activeCell="I23" sqref="I23"/>
    </sheetView>
  </sheetViews>
  <sheetFormatPr baseColWidth="10" defaultRowHeight="15" x14ac:dyDescent="0.25"/>
  <cols>
    <col min="4" max="4" width="20.140625" customWidth="1"/>
    <col min="6" max="6" width="27.28515625" bestFit="1" customWidth="1"/>
  </cols>
  <sheetData>
    <row r="1" spans="2:8" x14ac:dyDescent="0.25">
      <c r="B1" s="38" t="s">
        <v>71</v>
      </c>
      <c r="C1" s="38"/>
      <c r="D1" s="38"/>
      <c r="E1" s="38"/>
      <c r="F1" s="38"/>
      <c r="G1" s="38"/>
      <c r="H1" s="38"/>
    </row>
    <row r="2" spans="2:8" x14ac:dyDescent="0.25">
      <c r="B2" s="38"/>
      <c r="C2" s="38"/>
      <c r="D2" s="38"/>
      <c r="E2" s="38"/>
      <c r="F2" s="38"/>
      <c r="G2" s="38"/>
      <c r="H2" s="38"/>
    </row>
    <row r="3" spans="2:8" x14ac:dyDescent="0.25">
      <c r="C3" s="44" t="s">
        <v>0</v>
      </c>
      <c r="D3" s="45" t="s">
        <v>9</v>
      </c>
      <c r="E3" s="43" t="s">
        <v>3</v>
      </c>
      <c r="F3" s="42" t="str">
        <f>IFERROR(VLOOKUP(D3,CLIENTES[],4,0),"")</f>
        <v>CALI</v>
      </c>
      <c r="G3" s="42"/>
    </row>
    <row r="4" spans="2:8" x14ac:dyDescent="0.25">
      <c r="C4" s="43"/>
      <c r="D4" s="42"/>
      <c r="E4" s="43"/>
      <c r="F4" s="42"/>
      <c r="G4" s="42"/>
    </row>
    <row r="5" spans="2:8" x14ac:dyDescent="0.25">
      <c r="C5" s="43" t="s">
        <v>1</v>
      </c>
      <c r="D5" s="42" t="str">
        <f>IFERROR(VLOOKUP(D3,CLIENTES[],2,0),"")</f>
        <v>PEDRO</v>
      </c>
      <c r="E5" s="43"/>
      <c r="F5" s="42"/>
      <c r="G5" s="42"/>
    </row>
    <row r="6" spans="2:8" x14ac:dyDescent="0.25">
      <c r="C6" s="43"/>
      <c r="D6" s="42"/>
      <c r="E6" s="43"/>
      <c r="F6" s="42"/>
      <c r="G6" s="42"/>
    </row>
    <row r="7" spans="2:8" x14ac:dyDescent="0.25">
      <c r="C7" s="43" t="s">
        <v>2</v>
      </c>
      <c r="D7" s="42" t="str">
        <f>IFERROR(VLOOKUP(D3,CLIENTES[],3,0),"")</f>
        <v>SANCHEZ</v>
      </c>
      <c r="E7" s="41" t="s">
        <v>70</v>
      </c>
      <c r="F7" s="42" t="str">
        <f>IFERROR(VLOOKUP(D3,CLIENTES[],6,0),"")</f>
        <v>PEDROSANCHEZ3051234001C2YAHOO.COM</v>
      </c>
      <c r="G7" s="42"/>
    </row>
    <row r="8" spans="2:8" x14ac:dyDescent="0.25">
      <c r="C8" s="43"/>
      <c r="D8" s="42"/>
      <c r="E8" s="41"/>
      <c r="F8" s="42"/>
      <c r="G8" s="42"/>
    </row>
    <row r="9" spans="2:8" x14ac:dyDescent="0.25">
      <c r="C9" s="43" t="s">
        <v>4</v>
      </c>
      <c r="D9" s="42">
        <f>IFERROR(VLOOKUP(D3,CLIENTES[],5,0),"")</f>
        <v>3051234001</v>
      </c>
      <c r="E9" s="41"/>
      <c r="F9" s="42"/>
      <c r="G9" s="42"/>
    </row>
    <row r="10" spans="2:8" x14ac:dyDescent="0.25">
      <c r="C10" s="43"/>
      <c r="D10" s="42"/>
      <c r="E10" s="41"/>
      <c r="F10" s="42"/>
      <c r="G10" s="42"/>
    </row>
    <row r="12" spans="2:8" ht="23.25" x14ac:dyDescent="0.35">
      <c r="D12" s="39">
        <f ca="1">NOW()</f>
        <v>46225.892480902781</v>
      </c>
      <c r="E12" s="40"/>
      <c r="F12" s="40"/>
    </row>
    <row r="13" spans="2:8" ht="15" customHeight="1" x14ac:dyDescent="0.25">
      <c r="C13" s="36" t="str">
        <f>IFERROR(VLOOKUP(D3,CLIENTES[],6,0),"")</f>
        <v>PEDROSANCHEZ3051234001C2YAHOO.COM</v>
      </c>
      <c r="D13" s="36"/>
      <c r="E13" s="36"/>
      <c r="F13" s="36"/>
      <c r="G13" s="36"/>
    </row>
    <row r="14" spans="2:8" ht="15" customHeight="1" x14ac:dyDescent="0.25">
      <c r="C14" s="36"/>
      <c r="D14" s="36"/>
      <c r="E14" s="36"/>
      <c r="F14" s="36"/>
      <c r="G14" s="36"/>
    </row>
    <row r="15" spans="2:8" ht="15" customHeight="1" x14ac:dyDescent="0.25">
      <c r="C15" s="37" t="str">
        <f>IFERROR(VLOOKUP(D3,CLIENTES[],7,0),"")</f>
        <v>PEDRO SANCHEZ</v>
      </c>
      <c r="D15" s="37"/>
      <c r="E15" s="37"/>
      <c r="F15" s="37"/>
      <c r="G15" s="37"/>
    </row>
    <row r="16" spans="2:8" ht="15" customHeight="1" x14ac:dyDescent="0.25">
      <c r="C16" s="37"/>
      <c r="D16" s="37"/>
      <c r="E16" s="37"/>
      <c r="F16" s="37"/>
      <c r="G16" s="37"/>
    </row>
    <row r="17" spans="3:7" ht="15" customHeight="1" x14ac:dyDescent="0.25">
      <c r="C17" s="37"/>
      <c r="D17" s="37"/>
      <c r="E17" s="37"/>
      <c r="F17" s="37"/>
      <c r="G17" s="37"/>
    </row>
  </sheetData>
  <mergeCells count="16">
    <mergeCell ref="C13:G14"/>
    <mergeCell ref="C15:G17"/>
    <mergeCell ref="B1:H2"/>
    <mergeCell ref="D12:F12"/>
    <mergeCell ref="E7:E10"/>
    <mergeCell ref="F7:G10"/>
    <mergeCell ref="E3:E6"/>
    <mergeCell ref="F3:G6"/>
    <mergeCell ref="D5:D6"/>
    <mergeCell ref="D7:D8"/>
    <mergeCell ref="D9:D10"/>
    <mergeCell ref="C3:C4"/>
    <mergeCell ref="C5:C6"/>
    <mergeCell ref="C7:C8"/>
    <mergeCell ref="C9:C10"/>
    <mergeCell ref="D3:D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1FF0-73E3-4A60-BF61-1229E877C4E9}">
  <dimension ref="B2:K25"/>
  <sheetViews>
    <sheetView workbookViewId="0">
      <selection activeCell="J17" sqref="J17"/>
    </sheetView>
  </sheetViews>
  <sheetFormatPr baseColWidth="10" defaultRowHeight="15" x14ac:dyDescent="0.25"/>
  <cols>
    <col min="3" max="3" width="12.7109375" customWidth="1"/>
    <col min="4" max="4" width="12.140625" customWidth="1"/>
    <col min="5" max="5" width="13.140625" customWidth="1"/>
    <col min="6" max="6" width="13" customWidth="1"/>
  </cols>
  <sheetData>
    <row r="2" spans="2:11" x14ac:dyDescent="0.25">
      <c r="B2" s="12" t="s">
        <v>0</v>
      </c>
      <c r="C2" s="12" t="s">
        <v>1</v>
      </c>
      <c r="D2" s="12" t="s">
        <v>2</v>
      </c>
      <c r="F2" s="49" t="s">
        <v>94</v>
      </c>
      <c r="G2" s="50"/>
      <c r="H2" s="49" t="s">
        <v>95</v>
      </c>
      <c r="I2" s="50"/>
      <c r="J2" s="49" t="s">
        <v>101</v>
      </c>
      <c r="K2" s="50"/>
    </row>
    <row r="3" spans="2:11" x14ac:dyDescent="0.25">
      <c r="B3" s="15" t="s">
        <v>5</v>
      </c>
      <c r="C3" s="11" t="s">
        <v>6</v>
      </c>
      <c r="D3" s="11" t="s">
        <v>7</v>
      </c>
      <c r="F3" s="46">
        <f>MAX(B16:B25)</f>
        <v>1667984</v>
      </c>
      <c r="G3" s="47"/>
      <c r="H3" s="46">
        <f>MIN(B16:B25)</f>
        <v>1070349</v>
      </c>
      <c r="I3" s="47"/>
      <c r="J3" s="46">
        <f>COUNTIF(C16:C25,"APROBADO")</f>
        <v>6</v>
      </c>
      <c r="K3" s="47"/>
    </row>
    <row r="4" spans="2:11" x14ac:dyDescent="0.25">
      <c r="B4" s="15" t="s">
        <v>9</v>
      </c>
      <c r="C4" s="11" t="s">
        <v>10</v>
      </c>
      <c r="D4" s="11" t="s">
        <v>11</v>
      </c>
    </row>
    <row r="5" spans="2:11" x14ac:dyDescent="0.25">
      <c r="B5" s="15" t="s">
        <v>13</v>
      </c>
      <c r="C5" s="11" t="s">
        <v>14</v>
      </c>
      <c r="D5" s="11" t="s">
        <v>15</v>
      </c>
      <c r="F5" s="49" t="s">
        <v>103</v>
      </c>
      <c r="G5" s="50"/>
      <c r="H5" s="49" t="s">
        <v>100</v>
      </c>
      <c r="I5" s="50"/>
      <c r="J5" s="49" t="s">
        <v>102</v>
      </c>
      <c r="K5" s="50"/>
    </row>
    <row r="6" spans="2:11" x14ac:dyDescent="0.25">
      <c r="B6" s="15" t="s">
        <v>17</v>
      </c>
      <c r="C6" s="11" t="s">
        <v>18</v>
      </c>
      <c r="D6" s="11" t="s">
        <v>19</v>
      </c>
      <c r="F6" s="46">
        <f>SUMIF('CONSULTA 2'!$B$16:$B$25,"APROBADO",'CONSULTA 2'!$C$16:$C$25)</f>
        <v>0</v>
      </c>
      <c r="G6" s="47"/>
      <c r="H6" s="46">
        <f>COUNT(#REF!)</f>
        <v>0</v>
      </c>
      <c r="I6" s="47"/>
      <c r="J6" s="46"/>
      <c r="K6" s="47"/>
    </row>
    <row r="7" spans="2:11" x14ac:dyDescent="0.25">
      <c r="B7" s="15" t="s">
        <v>21</v>
      </c>
      <c r="C7" s="11" t="s">
        <v>22</v>
      </c>
      <c r="D7" s="11" t="s">
        <v>23</v>
      </c>
    </row>
    <row r="8" spans="2:11" x14ac:dyDescent="0.25">
      <c r="B8" s="15" t="s">
        <v>25</v>
      </c>
      <c r="C8" s="11" t="s">
        <v>26</v>
      </c>
      <c r="D8" s="11" t="s">
        <v>27</v>
      </c>
      <c r="F8" s="49" t="s">
        <v>96</v>
      </c>
      <c r="G8" s="50"/>
      <c r="H8" s="49" t="s">
        <v>100</v>
      </c>
      <c r="I8" s="50"/>
      <c r="J8" s="49" t="s">
        <v>102</v>
      </c>
      <c r="K8" s="50"/>
    </row>
    <row r="9" spans="2:11" x14ac:dyDescent="0.25">
      <c r="B9" s="15" t="s">
        <v>28</v>
      </c>
      <c r="C9" s="11" t="s">
        <v>29</v>
      </c>
      <c r="D9" s="11" t="s">
        <v>30</v>
      </c>
      <c r="F9" s="46">
        <f>AVERAGE(B16:B25)</f>
        <v>1432740.2</v>
      </c>
      <c r="G9" s="47"/>
      <c r="H9" s="46">
        <f>COUNT(B16:B25)</f>
        <v>10</v>
      </c>
      <c r="I9" s="47"/>
      <c r="J9" s="46">
        <f>COUNTIF(C16:C25,"RECHAZADO")</f>
        <v>4</v>
      </c>
      <c r="K9" s="47"/>
    </row>
    <row r="10" spans="2:11" x14ac:dyDescent="0.25">
      <c r="B10" s="15" t="s">
        <v>31</v>
      </c>
      <c r="C10" s="11" t="s">
        <v>32</v>
      </c>
      <c r="D10" s="11" t="s">
        <v>11</v>
      </c>
    </row>
    <row r="11" spans="2:11" x14ac:dyDescent="0.25">
      <c r="B11" s="15" t="s">
        <v>33</v>
      </c>
      <c r="C11" s="11" t="s">
        <v>34</v>
      </c>
      <c r="D11" s="11" t="s">
        <v>35</v>
      </c>
    </row>
    <row r="12" spans="2:11" x14ac:dyDescent="0.25">
      <c r="B12" s="15" t="s">
        <v>36</v>
      </c>
      <c r="C12" s="11" t="s">
        <v>37</v>
      </c>
      <c r="D12" s="11" t="s">
        <v>38</v>
      </c>
    </row>
    <row r="15" spans="2:11" x14ac:dyDescent="0.25">
      <c r="B15" s="13" t="s">
        <v>93</v>
      </c>
      <c r="C15" s="14" t="s">
        <v>97</v>
      </c>
      <c r="E15" s="12" t="s">
        <v>104</v>
      </c>
      <c r="F15" s="12" t="s">
        <v>105</v>
      </c>
      <c r="H15" s="49" t="s">
        <v>141</v>
      </c>
      <c r="I15" s="50"/>
      <c r="J15" s="51" t="s">
        <v>142</v>
      </c>
      <c r="K15" s="51"/>
    </row>
    <row r="16" spans="2:11" x14ac:dyDescent="0.25">
      <c r="B16" s="9">
        <v>1667984</v>
      </c>
      <c r="C16" s="8" t="s">
        <v>98</v>
      </c>
      <c r="E16" s="11">
        <v>4</v>
      </c>
      <c r="F16" s="11" t="str">
        <f>IF(E16:E25&gt;=4,"PASA","NO PASA")</f>
        <v>PASA</v>
      </c>
      <c r="H16" s="48">
        <f>SUMIF(C16:C25,"APROBADO",B16:B25)</f>
        <v>8551948</v>
      </c>
      <c r="I16" s="48"/>
      <c r="J16" s="48">
        <f>SUMIF(C16:C25,"RECHAZADO",B16:B25)</f>
        <v>5775454</v>
      </c>
      <c r="K16" s="48"/>
    </row>
    <row r="17" spans="2:6" x14ac:dyDescent="0.25">
      <c r="B17" s="9">
        <v>1548779</v>
      </c>
      <c r="C17" s="8" t="s">
        <v>99</v>
      </c>
      <c r="E17" s="11">
        <v>1</v>
      </c>
      <c r="F17" s="11" t="str">
        <f t="shared" ref="F17:F25" si="0">IF(E17:E26&gt;=4,"PASA","NO PASA")</f>
        <v>NO PASA</v>
      </c>
    </row>
    <row r="18" spans="2:6" x14ac:dyDescent="0.25">
      <c r="B18" s="9">
        <v>1489739</v>
      </c>
      <c r="C18" s="8" t="s">
        <v>98</v>
      </c>
      <c r="E18" s="11">
        <v>2</v>
      </c>
      <c r="F18" s="11" t="str">
        <f t="shared" si="0"/>
        <v>NO PASA</v>
      </c>
    </row>
    <row r="19" spans="2:6" x14ac:dyDescent="0.25">
      <c r="B19" s="9">
        <v>1373125</v>
      </c>
      <c r="C19" s="8" t="s">
        <v>98</v>
      </c>
      <c r="E19" s="11">
        <v>2</v>
      </c>
      <c r="F19" s="11" t="str">
        <f t="shared" si="0"/>
        <v>NO PASA</v>
      </c>
    </row>
    <row r="20" spans="2:6" x14ac:dyDescent="0.25">
      <c r="B20" s="9">
        <v>1264143</v>
      </c>
      <c r="C20" s="8" t="s">
        <v>99</v>
      </c>
      <c r="E20" s="11">
        <v>4</v>
      </c>
      <c r="F20" s="11" t="str">
        <f t="shared" si="0"/>
        <v>PASA</v>
      </c>
    </row>
    <row r="21" spans="2:6" x14ac:dyDescent="0.25">
      <c r="B21" s="9">
        <v>1375509</v>
      </c>
      <c r="C21" s="8" t="s">
        <v>99</v>
      </c>
      <c r="E21" s="11">
        <v>5</v>
      </c>
      <c r="F21" s="11" t="str">
        <f t="shared" si="0"/>
        <v>PASA</v>
      </c>
    </row>
    <row r="22" spans="2:6" x14ac:dyDescent="0.25">
      <c r="B22" s="9">
        <v>1343875</v>
      </c>
      <c r="C22" s="8" t="s">
        <v>98</v>
      </c>
      <c r="E22" s="11">
        <v>4</v>
      </c>
      <c r="F22" s="11" t="str">
        <f t="shared" si="0"/>
        <v>PASA</v>
      </c>
    </row>
    <row r="23" spans="2:6" x14ac:dyDescent="0.25">
      <c r="B23" s="9">
        <v>1070349</v>
      </c>
      <c r="C23" s="8" t="s">
        <v>98</v>
      </c>
      <c r="E23" s="11">
        <v>5</v>
      </c>
      <c r="F23" s="11" t="str">
        <f t="shared" si="0"/>
        <v>PASA</v>
      </c>
    </row>
    <row r="24" spans="2:6" x14ac:dyDescent="0.25">
      <c r="B24" s="9">
        <v>1587023</v>
      </c>
      <c r="C24" s="8" t="s">
        <v>99</v>
      </c>
      <c r="E24" s="11">
        <v>4</v>
      </c>
      <c r="F24" s="11" t="str">
        <f t="shared" si="0"/>
        <v>PASA</v>
      </c>
    </row>
    <row r="25" spans="2:6" x14ac:dyDescent="0.25">
      <c r="B25" s="6">
        <v>1606876</v>
      </c>
      <c r="C25" s="5" t="s">
        <v>98</v>
      </c>
      <c r="E25" s="11">
        <v>3</v>
      </c>
      <c r="F25" s="11" t="str">
        <f t="shared" si="0"/>
        <v>NO PASA</v>
      </c>
    </row>
  </sheetData>
  <mergeCells count="22">
    <mergeCell ref="F9:G9"/>
    <mergeCell ref="H9:I9"/>
    <mergeCell ref="H8:I8"/>
    <mergeCell ref="F8:G8"/>
    <mergeCell ref="F2:G2"/>
    <mergeCell ref="F5:G5"/>
    <mergeCell ref="H5:I5"/>
    <mergeCell ref="F6:G6"/>
    <mergeCell ref="H6:I6"/>
    <mergeCell ref="F3:G3"/>
    <mergeCell ref="H2:I2"/>
    <mergeCell ref="H3:I3"/>
    <mergeCell ref="J3:K3"/>
    <mergeCell ref="J2:K2"/>
    <mergeCell ref="J5:K5"/>
    <mergeCell ref="J8:K8"/>
    <mergeCell ref="J9:K9"/>
    <mergeCell ref="J6:K6"/>
    <mergeCell ref="H16:I16"/>
    <mergeCell ref="H15:I15"/>
    <mergeCell ref="J15:K15"/>
    <mergeCell ref="J16:K16"/>
  </mergeCells>
  <conditionalFormatting sqref="F16:F25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5F50-4DBD-4712-B93C-7D8A9C056076}">
  <dimension ref="A1:N36"/>
  <sheetViews>
    <sheetView tabSelected="1" workbookViewId="0">
      <selection activeCell="A21" sqref="A21"/>
    </sheetView>
  </sheetViews>
  <sheetFormatPr baseColWidth="10" defaultRowHeight="15" x14ac:dyDescent="0.25"/>
  <cols>
    <col min="2" max="2" width="12.42578125" customWidth="1"/>
    <col min="3" max="3" width="14.140625" customWidth="1"/>
    <col min="5" max="5" width="13.5703125" customWidth="1"/>
    <col min="6" max="6" width="15" customWidth="1"/>
  </cols>
  <sheetData>
    <row r="1" spans="1:10" x14ac:dyDescent="0.25">
      <c r="A1" s="54" t="s">
        <v>116</v>
      </c>
      <c r="B1" s="55"/>
      <c r="C1" s="55"/>
      <c r="D1" s="55"/>
      <c r="E1" s="55"/>
      <c r="F1" s="55"/>
      <c r="G1" s="55"/>
      <c r="H1" s="55"/>
      <c r="I1" s="55"/>
      <c r="J1" s="56"/>
    </row>
    <row r="2" spans="1:10" x14ac:dyDescent="0.25">
      <c r="A2" s="57"/>
      <c r="B2" s="58"/>
      <c r="C2" s="58"/>
      <c r="D2" s="58"/>
      <c r="E2" s="58"/>
      <c r="F2" s="58"/>
      <c r="G2" s="58"/>
      <c r="H2" s="58"/>
      <c r="I2" s="58"/>
      <c r="J2" s="59"/>
    </row>
    <row r="3" spans="1:10" x14ac:dyDescent="0.25">
      <c r="A3" s="60" t="s">
        <v>112</v>
      </c>
      <c r="B3" s="61"/>
      <c r="C3" s="18" t="s">
        <v>117</v>
      </c>
      <c r="D3" s="18" t="s">
        <v>118</v>
      </c>
      <c r="E3" s="18" t="s">
        <v>119</v>
      </c>
      <c r="F3" s="18" t="s">
        <v>120</v>
      </c>
      <c r="G3" s="18" t="s">
        <v>121</v>
      </c>
      <c r="H3" s="18" t="s">
        <v>122</v>
      </c>
      <c r="I3" s="60" t="s">
        <v>123</v>
      </c>
      <c r="J3" s="61"/>
    </row>
    <row r="4" spans="1:10" x14ac:dyDescent="0.25">
      <c r="A4" s="60" t="s">
        <v>115</v>
      </c>
      <c r="B4" s="61"/>
      <c r="C4" s="16">
        <v>80963</v>
      </c>
      <c r="D4" s="16">
        <v>75841</v>
      </c>
      <c r="E4" s="16">
        <v>68850</v>
      </c>
      <c r="F4" s="16">
        <v>67740</v>
      </c>
      <c r="G4" s="16">
        <v>73637</v>
      </c>
      <c r="H4" s="16">
        <v>57373</v>
      </c>
      <c r="I4" s="52">
        <f>SUM(C4:H4)</f>
        <v>424404</v>
      </c>
      <c r="J4" s="53"/>
    </row>
    <row r="5" spans="1:10" x14ac:dyDescent="0.25">
      <c r="A5" s="60" t="s">
        <v>113</v>
      </c>
      <c r="B5" s="61"/>
      <c r="C5" s="16">
        <v>69130</v>
      </c>
      <c r="D5" s="16">
        <v>68241</v>
      </c>
      <c r="E5" s="16">
        <v>59989</v>
      </c>
      <c r="F5" s="16">
        <v>72356</v>
      </c>
      <c r="G5" s="16">
        <v>82129</v>
      </c>
      <c r="H5" s="16">
        <v>73440</v>
      </c>
      <c r="I5" s="52">
        <f>SUM(C5:H5)</f>
        <v>425285</v>
      </c>
      <c r="J5" s="53"/>
    </row>
    <row r="6" spans="1:10" x14ac:dyDescent="0.25">
      <c r="A6" s="51" t="s">
        <v>114</v>
      </c>
      <c r="B6" s="51"/>
      <c r="C6" s="16">
        <v>83362</v>
      </c>
      <c r="D6" s="16">
        <v>84178</v>
      </c>
      <c r="E6" s="16">
        <v>74360</v>
      </c>
      <c r="F6" s="16">
        <v>58292</v>
      </c>
      <c r="G6" s="16">
        <v>75067</v>
      </c>
      <c r="H6" s="16">
        <v>72614</v>
      </c>
      <c r="I6" s="48">
        <f>SUM(C6:H6)</f>
        <v>447873</v>
      </c>
      <c r="J6" s="48"/>
    </row>
    <row r="10" spans="1:10" x14ac:dyDescent="0.25">
      <c r="A10" s="21" t="s">
        <v>0</v>
      </c>
      <c r="B10" s="21" t="s">
        <v>100</v>
      </c>
      <c r="C10" s="21" t="s">
        <v>124</v>
      </c>
      <c r="D10" s="22" t="s">
        <v>125</v>
      </c>
      <c r="F10" s="60" t="s">
        <v>134</v>
      </c>
      <c r="G10" s="61"/>
      <c r="I10" s="18" t="s">
        <v>0</v>
      </c>
      <c r="J10" s="16">
        <v>1</v>
      </c>
    </row>
    <row r="11" spans="1:10" x14ac:dyDescent="0.25">
      <c r="A11" s="23">
        <v>1</v>
      </c>
      <c r="B11" s="23">
        <v>2</v>
      </c>
      <c r="C11" s="23" t="s">
        <v>126</v>
      </c>
      <c r="D11" s="24">
        <v>2161</v>
      </c>
      <c r="F11" s="52">
        <f>SUM('ACT. 270526'!$B$11:$B$15)</f>
        <v>12</v>
      </c>
      <c r="G11" s="53"/>
      <c r="I11" s="27" t="s">
        <v>133</v>
      </c>
      <c r="J11" s="17" t="str">
        <f>VLOOKUP(J10,'ACT. 270526'!$A$11:$D$15,3,0)</f>
        <v>ARROZ</v>
      </c>
    </row>
    <row r="12" spans="1:10" x14ac:dyDescent="0.25">
      <c r="A12" s="25">
        <v>2</v>
      </c>
      <c r="B12" s="25">
        <v>6</v>
      </c>
      <c r="C12" s="25" t="s">
        <v>127</v>
      </c>
      <c r="D12" s="26">
        <v>2555</v>
      </c>
      <c r="I12" s="18" t="s">
        <v>100</v>
      </c>
      <c r="J12" s="16">
        <f>VLOOKUP(J10,'ACT. 270526'!$A$11:$D$15,2,0)</f>
        <v>2</v>
      </c>
    </row>
    <row r="13" spans="1:10" x14ac:dyDescent="0.25">
      <c r="A13" s="23">
        <v>3</v>
      </c>
      <c r="B13" s="23">
        <v>1</v>
      </c>
      <c r="C13" s="23" t="s">
        <v>128</v>
      </c>
      <c r="D13" s="24">
        <v>1860</v>
      </c>
    </row>
    <row r="14" spans="1:10" x14ac:dyDescent="0.25">
      <c r="A14" s="25">
        <v>4</v>
      </c>
      <c r="B14" s="25">
        <v>3</v>
      </c>
      <c r="C14" s="25" t="s">
        <v>129</v>
      </c>
      <c r="D14" s="26">
        <v>1681</v>
      </c>
    </row>
    <row r="15" spans="1:10" x14ac:dyDescent="0.25">
      <c r="A15" s="20"/>
      <c r="B15" s="20"/>
      <c r="C15" s="20" t="s">
        <v>126</v>
      </c>
      <c r="D15" s="26">
        <v>1681</v>
      </c>
    </row>
    <row r="17" spans="1:14" x14ac:dyDescent="0.25">
      <c r="A17" s="30" t="s">
        <v>1</v>
      </c>
      <c r="B17" s="31" t="s">
        <v>2</v>
      </c>
      <c r="C17" s="31" t="s">
        <v>3</v>
      </c>
      <c r="D17" s="31" t="s">
        <v>104</v>
      </c>
      <c r="E17" s="32" t="s">
        <v>105</v>
      </c>
      <c r="G17" s="62" t="s">
        <v>130</v>
      </c>
      <c r="H17" s="62"/>
      <c r="I17" s="16">
        <f>MAX(D18:D27)</f>
        <v>5</v>
      </c>
    </row>
    <row r="18" spans="1:14" x14ac:dyDescent="0.25">
      <c r="A18" s="28" t="s">
        <v>6</v>
      </c>
      <c r="B18" s="11" t="s">
        <v>7</v>
      </c>
      <c r="C18" s="11" t="s">
        <v>8</v>
      </c>
      <c r="D18" s="11">
        <v>4</v>
      </c>
      <c r="E18" s="29" t="str">
        <f>IF(D18&gt;3,"APROBO","REPROBO")</f>
        <v>APROBO</v>
      </c>
      <c r="G18" s="62" t="s">
        <v>131</v>
      </c>
      <c r="H18" s="62"/>
      <c r="I18" s="16">
        <f>COUNTIF(E18:E27,"APROBO")</f>
        <v>5</v>
      </c>
    </row>
    <row r="19" spans="1:14" x14ac:dyDescent="0.25">
      <c r="A19" s="28" t="s">
        <v>10</v>
      </c>
      <c r="B19" s="11" t="s">
        <v>11</v>
      </c>
      <c r="C19" s="11" t="s">
        <v>12</v>
      </c>
      <c r="D19" s="11">
        <v>5</v>
      </c>
      <c r="E19" s="29" t="str">
        <f t="shared" ref="E19:E27" si="0">IF(D19&gt;3,"APROBO","REPROBO")</f>
        <v>APROBO</v>
      </c>
      <c r="G19" s="62" t="s">
        <v>132</v>
      </c>
      <c r="H19" s="62"/>
      <c r="I19" s="16">
        <f>COUNTIF(E18:E27,"REPROBO")</f>
        <v>5</v>
      </c>
    </row>
    <row r="20" spans="1:14" x14ac:dyDescent="0.25">
      <c r="A20" s="28" t="s">
        <v>14</v>
      </c>
      <c r="B20" s="11" t="s">
        <v>15</v>
      </c>
      <c r="C20" s="11" t="s">
        <v>16</v>
      </c>
      <c r="D20" s="11">
        <v>5</v>
      </c>
      <c r="E20" s="29" t="str">
        <f t="shared" si="0"/>
        <v>APROBO</v>
      </c>
    </row>
    <row r="21" spans="1:14" x14ac:dyDescent="0.25">
      <c r="A21" s="28" t="s">
        <v>18</v>
      </c>
      <c r="B21" s="11" t="s">
        <v>19</v>
      </c>
      <c r="C21" s="11" t="s">
        <v>24</v>
      </c>
      <c r="D21" s="11">
        <v>1</v>
      </c>
      <c r="E21" s="29" t="str">
        <f t="shared" si="0"/>
        <v>REPROBO</v>
      </c>
      <c r="G21" s="62" t="s">
        <v>135</v>
      </c>
      <c r="H21" s="62"/>
      <c r="I21" s="16" t="s">
        <v>6</v>
      </c>
    </row>
    <row r="22" spans="1:14" x14ac:dyDescent="0.25">
      <c r="A22" s="28" t="s">
        <v>22</v>
      </c>
      <c r="B22" s="11" t="s">
        <v>23</v>
      </c>
      <c r="C22" s="11" t="s">
        <v>8</v>
      </c>
      <c r="D22" s="11">
        <v>1</v>
      </c>
      <c r="E22" s="29" t="str">
        <f t="shared" si="0"/>
        <v>REPROBO</v>
      </c>
      <c r="G22" s="62" t="s">
        <v>3</v>
      </c>
      <c r="H22" s="62"/>
      <c r="I22" s="16" t="str">
        <f>VLOOKUP(I21,ESTUDIANTES[],3,0)</f>
        <v>PALMIRA</v>
      </c>
    </row>
    <row r="23" spans="1:14" x14ac:dyDescent="0.25">
      <c r="A23" s="28" t="s">
        <v>26</v>
      </c>
      <c r="B23" s="11" t="s">
        <v>27</v>
      </c>
      <c r="C23" s="11" t="s">
        <v>12</v>
      </c>
      <c r="D23" s="11">
        <v>4</v>
      </c>
      <c r="E23" s="29" t="str">
        <f t="shared" si="0"/>
        <v>APROBO</v>
      </c>
      <c r="G23" s="62" t="s">
        <v>136</v>
      </c>
      <c r="H23" s="62"/>
      <c r="I23" s="16">
        <f>COUNTIF(ESTUDIANTES[CIUDAD],"CALI")</f>
        <v>3</v>
      </c>
      <c r="M23" s="19"/>
      <c r="N23" s="19"/>
    </row>
    <row r="24" spans="1:14" x14ac:dyDescent="0.25">
      <c r="A24" s="28" t="s">
        <v>29</v>
      </c>
      <c r="B24" s="11" t="s">
        <v>30</v>
      </c>
      <c r="C24" s="11" t="s">
        <v>16</v>
      </c>
      <c r="D24" s="11">
        <v>2</v>
      </c>
      <c r="E24" s="29" t="str">
        <f t="shared" si="0"/>
        <v>REPROBO</v>
      </c>
    </row>
    <row r="25" spans="1:14" x14ac:dyDescent="0.25">
      <c r="A25" s="28" t="s">
        <v>32</v>
      </c>
      <c r="B25" s="11" t="s">
        <v>11</v>
      </c>
      <c r="C25" s="11" t="s">
        <v>24</v>
      </c>
      <c r="D25" s="11">
        <v>2</v>
      </c>
      <c r="E25" s="29" t="str">
        <f t="shared" si="0"/>
        <v>REPROBO</v>
      </c>
    </row>
    <row r="26" spans="1:14" x14ac:dyDescent="0.25">
      <c r="A26" s="28" t="s">
        <v>34</v>
      </c>
      <c r="B26" s="11" t="s">
        <v>35</v>
      </c>
      <c r="C26" s="11" t="s">
        <v>8</v>
      </c>
      <c r="D26" s="11">
        <v>4</v>
      </c>
      <c r="E26" s="29" t="str">
        <f t="shared" si="0"/>
        <v>APROBO</v>
      </c>
    </row>
    <row r="27" spans="1:14" x14ac:dyDescent="0.25">
      <c r="A27" s="33" t="s">
        <v>37</v>
      </c>
      <c r="B27" s="34" t="s">
        <v>38</v>
      </c>
      <c r="C27" s="34" t="s">
        <v>12</v>
      </c>
      <c r="D27" s="34">
        <v>2</v>
      </c>
      <c r="E27" s="35" t="str">
        <f t="shared" si="0"/>
        <v>REPROBO</v>
      </c>
    </row>
    <row r="30" spans="1:14" x14ac:dyDescent="0.25">
      <c r="A30" s="51" t="s">
        <v>137</v>
      </c>
      <c r="B30" s="51"/>
      <c r="C30" s="51"/>
      <c r="D30" s="51"/>
      <c r="E30" s="51"/>
      <c r="F30" s="51"/>
      <c r="G30" s="51"/>
      <c r="I30" s="60" t="s">
        <v>139</v>
      </c>
      <c r="J30" s="61"/>
      <c r="K30" s="60" t="s">
        <v>140</v>
      </c>
      <c r="L30" s="61"/>
    </row>
    <row r="31" spans="1:14" x14ac:dyDescent="0.25">
      <c r="A31" s="18" t="s">
        <v>106</v>
      </c>
      <c r="B31" s="18" t="s">
        <v>107</v>
      </c>
      <c r="C31" s="18" t="s">
        <v>108</v>
      </c>
      <c r="D31" s="18" t="s">
        <v>109</v>
      </c>
      <c r="E31" s="18" t="s">
        <v>110</v>
      </c>
      <c r="F31" s="18" t="s">
        <v>111</v>
      </c>
      <c r="G31" s="18" t="s">
        <v>138</v>
      </c>
      <c r="I31" s="52">
        <f>COUNTIF(A32:G36,"1")</f>
        <v>19</v>
      </c>
      <c r="J31" s="53"/>
      <c r="K31" s="52">
        <f>COUNTIF(A32:G36,"0")</f>
        <v>11</v>
      </c>
      <c r="L31" s="53"/>
    </row>
    <row r="32" spans="1:14" x14ac:dyDescent="0.25">
      <c r="A32" s="16">
        <v>0</v>
      </c>
      <c r="B32" s="16">
        <v>1</v>
      </c>
      <c r="C32" s="16">
        <v>1</v>
      </c>
      <c r="D32" s="16">
        <v>0</v>
      </c>
      <c r="E32" s="16">
        <v>1</v>
      </c>
      <c r="F32" s="16">
        <v>1</v>
      </c>
      <c r="G32" s="16">
        <v>1</v>
      </c>
    </row>
    <row r="33" spans="1:7" x14ac:dyDescent="0.25">
      <c r="A33" s="16">
        <v>1</v>
      </c>
      <c r="B33" s="16">
        <v>0</v>
      </c>
      <c r="C33" s="16">
        <v>1</v>
      </c>
      <c r="D33" s="16">
        <v>0</v>
      </c>
      <c r="E33" s="16">
        <v>0</v>
      </c>
      <c r="F33" s="16">
        <v>0</v>
      </c>
      <c r="G33" s="16">
        <v>0</v>
      </c>
    </row>
    <row r="34" spans="1:7" x14ac:dyDescent="0.25">
      <c r="A34" s="16">
        <v>1</v>
      </c>
      <c r="B34" s="16">
        <v>0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</row>
    <row r="35" spans="1:7" x14ac:dyDescent="0.25">
      <c r="A35" s="16">
        <v>0</v>
      </c>
      <c r="B35" s="16">
        <v>1</v>
      </c>
      <c r="C35" s="16">
        <v>0</v>
      </c>
      <c r="D35" s="16">
        <v>1</v>
      </c>
      <c r="E35" s="16">
        <v>1</v>
      </c>
      <c r="F35" s="16">
        <v>1</v>
      </c>
      <c r="G35" s="16">
        <v>1</v>
      </c>
    </row>
    <row r="36" spans="1:7" x14ac:dyDescent="0.25">
      <c r="A36" s="16">
        <v>0</v>
      </c>
      <c r="B36" s="16">
        <v>1</v>
      </c>
    </row>
  </sheetData>
  <mergeCells count="22">
    <mergeCell ref="G21:H21"/>
    <mergeCell ref="G22:H22"/>
    <mergeCell ref="G23:H23"/>
    <mergeCell ref="F10:G10"/>
    <mergeCell ref="G17:H17"/>
    <mergeCell ref="G18:H18"/>
    <mergeCell ref="G19:H19"/>
    <mergeCell ref="I30:J30"/>
    <mergeCell ref="I31:J31"/>
    <mergeCell ref="A30:G30"/>
    <mergeCell ref="K30:L30"/>
    <mergeCell ref="K31:L31"/>
    <mergeCell ref="F11:G11"/>
    <mergeCell ref="A1:J2"/>
    <mergeCell ref="A3:B3"/>
    <mergeCell ref="A4:B4"/>
    <mergeCell ref="A5:B5"/>
    <mergeCell ref="I3:J3"/>
    <mergeCell ref="I5:J5"/>
    <mergeCell ref="I4:J4"/>
    <mergeCell ref="I6:J6"/>
    <mergeCell ref="A6:B6"/>
  </mergeCells>
  <conditionalFormatting sqref="I6:J6 I3:I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J6 I4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D27">
    <cfRule type="iconSet" priority="3">
      <iconSet iconSet="3Signs">
        <cfvo type="percent" val="0"/>
        <cfvo type="percent" val="33"/>
        <cfvo type="percent" val="67"/>
      </iconSet>
    </cfRule>
  </conditionalFormatting>
  <conditionalFormatting sqref="A32:G36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CONSULTA</vt:lpstr>
      <vt:lpstr>CONSULTA 2</vt:lpstr>
      <vt:lpstr>ACT. 270526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2026-05-14T01:20:29Z</dcterms:created>
  <dcterms:modified xsi:type="dcterms:W3CDTF">2026-07-23T02:26:50Z</dcterms:modified>
</cp:coreProperties>
</file>