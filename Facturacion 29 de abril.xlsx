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\Documents\System 32\"/>
    </mc:Choice>
  </mc:AlternateContent>
  <xr:revisionPtr revIDLastSave="0" documentId="13_ncr:1_{5A7FDFC5-720C-4A3B-81AC-1677857C9E96}" xr6:coauthVersionLast="36" xr6:coauthVersionMax="36" xr10:uidLastSave="{00000000-0000-0000-0000-000000000000}"/>
  <bookViews>
    <workbookView xWindow="0" yWindow="0" windowWidth="28800" windowHeight="12225" xr2:uid="{25BCA4D3-0508-4A0B-9EA6-02E48CACBE91}"/>
  </bookViews>
  <sheets>
    <sheet name="CLIENTES" sheetId="1" r:id="rId1"/>
    <sheet name="EMPLEADOS" sheetId="2" r:id="rId2"/>
    <sheet name="PRODUCTOS" sheetId="3" r:id="rId3"/>
    <sheet name="FACTURACION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4" l="1"/>
  <c r="G9" i="4" l="1"/>
  <c r="L20" i="4"/>
  <c r="L21" i="4"/>
  <c r="M21" i="4" s="1"/>
  <c r="L22" i="4"/>
  <c r="L23" i="4"/>
  <c r="M23" i="4" s="1"/>
  <c r="L24" i="4"/>
  <c r="M24" i="4" s="1"/>
  <c r="L25" i="4"/>
  <c r="M25" i="4" s="1"/>
  <c r="L26" i="4"/>
  <c r="M26" i="4" s="1"/>
  <c r="L19" i="4"/>
  <c r="F19" i="4"/>
  <c r="M19" i="4"/>
  <c r="M20" i="4"/>
  <c r="F20" i="4"/>
  <c r="F21" i="4"/>
  <c r="F22" i="4"/>
  <c r="F23" i="4"/>
  <c r="F24" i="4"/>
  <c r="F25" i="4"/>
  <c r="F26" i="4"/>
  <c r="K14" i="4"/>
  <c r="K13" i="4"/>
  <c r="F14" i="4"/>
  <c r="F13" i="4"/>
  <c r="M22" i="4"/>
  <c r="M9" i="4"/>
  <c r="M27" i="4" l="1"/>
  <c r="M28" i="4" s="1"/>
  <c r="M29" i="4" l="1"/>
</calcChain>
</file>

<file path=xl/sharedStrings.xml><?xml version="1.0" encoding="utf-8"?>
<sst xmlns="http://schemas.openxmlformats.org/spreadsheetml/2006/main" count="170" uniqueCount="144">
  <si>
    <t>ID</t>
  </si>
  <si>
    <t>NOMBRE COMPLETO</t>
  </si>
  <si>
    <t>TELEFONO</t>
  </si>
  <si>
    <t>E1</t>
  </si>
  <si>
    <t>E10</t>
  </si>
  <si>
    <t>E2</t>
  </si>
  <si>
    <t>E3</t>
  </si>
  <si>
    <t>E4</t>
  </si>
  <si>
    <t>E5</t>
  </si>
  <si>
    <t>E6</t>
  </si>
  <si>
    <t>E7</t>
  </si>
  <si>
    <t>E8</t>
  </si>
  <si>
    <t>E9</t>
  </si>
  <si>
    <t>NOMBRE</t>
  </si>
  <si>
    <t>APELLIDO</t>
  </si>
  <si>
    <t>CIUDAD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</si>
  <si>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</si>
  <si>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</si>
  <si>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</si>
  <si>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</si>
  <si>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</si>
  <si>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</si>
  <si>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</si>
  <si>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</si>
  <si>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</si>
  <si>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</si>
  <si>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</si>
  <si>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</si>
  <si>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</si>
  <si>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</si>
  <si>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</si>
  <si>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</si>
  <si>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</si>
  <si>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</si>
  <si>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</si>
  <si>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</si>
  <si>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NOMBRE DEL PRODUCTO</t>
  </si>
  <si>
    <t>V. UNITARIO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</si>
  <si>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</si>
  <si>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</si>
  <si>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</si>
  <si>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</si>
  <si>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</si>
  <si>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</si>
  <si>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</si>
  <si>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</si>
  <si>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</si>
  <si>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</si>
  <si>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</si>
  <si>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</si>
  <si>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</si>
  <si>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</si>
  <si>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</si>
  <si>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</si>
  <si>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</si>
  <si>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</si>
  <si>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</si>
  <si>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</si>
  <si>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MARIO</t>
  </si>
  <si>
    <t>PEDRO</t>
  </si>
  <si>
    <t>ANA</t>
  </si>
  <si>
    <t>JOSE</t>
  </si>
  <si>
    <t>NEHOMAR</t>
  </si>
  <si>
    <t>XIOMARA</t>
  </si>
  <si>
    <t>LEIDY</t>
  </si>
  <si>
    <t>JHOANA</t>
  </si>
  <si>
    <t>JEIDRY</t>
  </si>
  <si>
    <t>MARIA</t>
  </si>
  <si>
    <t>DERLING</t>
  </si>
  <si>
    <t>EVELIN</t>
  </si>
  <si>
    <t>CRISTIAN</t>
  </si>
  <si>
    <t>ALEJANDRO</t>
  </si>
  <si>
    <t>ALEJADRA</t>
  </si>
  <si>
    <t>SEBASTIAN</t>
  </si>
  <si>
    <t>ESTEBAN</t>
  </si>
  <si>
    <t>JUAN</t>
  </si>
  <si>
    <t>SOFIA</t>
  </si>
  <si>
    <t>VALENTINA</t>
  </si>
  <si>
    <t>RIVERO</t>
  </si>
  <si>
    <t>SANCHEZ</t>
  </si>
  <si>
    <t>GARCIA</t>
  </si>
  <si>
    <t>LOPÉZ</t>
  </si>
  <si>
    <t>HERNANDEZ</t>
  </si>
  <si>
    <t>GONZALEZ</t>
  </si>
  <si>
    <t>PEREZ</t>
  </si>
  <si>
    <t>RAMIREZ</t>
  </si>
  <si>
    <t>TORRES</t>
  </si>
  <si>
    <t>FLORES</t>
  </si>
  <si>
    <t>RIVERA</t>
  </si>
  <si>
    <t>GOMEZ</t>
  </si>
  <si>
    <t>DIAZ</t>
  </si>
  <si>
    <t>VARGAS</t>
  </si>
  <si>
    <t>CASTILLO</t>
  </si>
  <si>
    <t>CRUZ</t>
  </si>
  <si>
    <t>MORALES</t>
  </si>
  <si>
    <t>ORTIZ</t>
  </si>
  <si>
    <t>NAVARRO</t>
  </si>
  <si>
    <t>PALMIRA</t>
  </si>
  <si>
    <t>CALI</t>
  </si>
  <si>
    <t>BUGA</t>
  </si>
  <si>
    <t>TULUA</t>
  </si>
  <si>
    <t>CERRITO</t>
  </si>
  <si>
    <t>PATOJITO</t>
  </si>
  <si>
    <t>AXION</t>
  </si>
  <si>
    <t>JABON REY</t>
  </si>
  <si>
    <t>FAB</t>
  </si>
  <si>
    <t>CEPILLO DENTAL</t>
  </si>
  <si>
    <t>AGUA MIA</t>
  </si>
  <si>
    <t>BIG COLA PERSONAL</t>
  </si>
  <si>
    <t>BIG COLA LITRO</t>
  </si>
  <si>
    <t>JABON LIQUIDO</t>
  </si>
  <si>
    <t>JUGO DEL VALLE</t>
  </si>
  <si>
    <t>RECOJEDOR</t>
  </si>
  <si>
    <t>ESCOBA</t>
  </si>
  <si>
    <t>TRAPEADOR</t>
  </si>
  <si>
    <t>BOMBOMBUM X6</t>
  </si>
  <si>
    <t>CUBITO X5</t>
  </si>
  <si>
    <t>BUBALU X12</t>
  </si>
  <si>
    <t>HARINA PAN</t>
  </si>
  <si>
    <t>HARINA DE TRIGO</t>
  </si>
  <si>
    <t>LECHE 250ML</t>
  </si>
  <si>
    <t>LECHE 500ML</t>
  </si>
  <si>
    <t>MARIA CORINA</t>
  </si>
  <si>
    <t>DELCY RODRIGUEZ</t>
  </si>
  <si>
    <t>DIOSDADO CABELLO</t>
  </si>
  <si>
    <t>NICOLAS MADURO</t>
  </si>
  <si>
    <t>PETRO HURREGO</t>
  </si>
  <si>
    <t>ALVARO URIBE</t>
  </si>
  <si>
    <t>VICTOR RAMOS</t>
  </si>
  <si>
    <t>DILIAN TORO</t>
  </si>
  <si>
    <t>EDER GARCES</t>
  </si>
  <si>
    <t>GUSTAVO PINILLA (GUAYENECHE)</t>
  </si>
  <si>
    <t>ID CLIENTES</t>
  </si>
  <si>
    <t>ID EMPLEADOS</t>
  </si>
  <si>
    <t>FECHA</t>
  </si>
  <si>
    <t xml:space="preserve">CIUDAD </t>
  </si>
  <si>
    <t>DATOS PRODUCTOS</t>
  </si>
  <si>
    <t>NOMBRE PRODUCTO</t>
  </si>
  <si>
    <t>CANTIDAD</t>
  </si>
  <si>
    <t>V.TOTAL</t>
  </si>
  <si>
    <t>SUBTOTAL</t>
  </si>
  <si>
    <t>IVA (19%)</t>
  </si>
  <si>
    <t>TOTAL</t>
  </si>
  <si>
    <t>DATOS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</si>
</sst>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/>
      <top style="thin">
        <color theme="1" tint="4.9989318521683403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 tint="4.9989318521683403E-2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6">
    <xf numFmtId="0" fontId="0" fillId="0" borderId="0" xfId="0"/>
    <xf numFmtId="0" fontId="0" fillId="2" borderId="2" xfId="0" applyFont="1" applyFill="1" applyBorder="1"/>
    <xf numFmtId="0" fontId="1" fillId="3" borderId="2" xfId="0" applyFont="1" applyFill="1" applyBorder="1"/>
    <xf numFmtId="0" fontId="1" fillId="3" borderId="2" xfId="0" applyFont="1" applyFill="1" applyBorder="1" applyAlignment="1"/>
    <xf numFmtId="0" fontId="1" fillId="4" borderId="2" xfId="0" applyFont="1" applyFill="1" applyBorder="1"/>
    <xf numFmtId="0" fontId="1" fillId="3" borderId="1" xfId="0" applyFont="1" applyFill="1" applyBorder="1"/>
    <xf numFmtId="0" fontId="1" fillId="3" borderId="4" xfId="0" applyFont="1" applyFill="1" applyBorder="1"/>
    <xf numFmtId="0" fontId="0" fillId="2" borderId="3" xfId="0" applyFont="1" applyFill="1" applyBorder="1"/>
    <xf numFmtId="0" fontId="1" fillId="3" borderId="5" xfId="0" applyFont="1" applyFill="1" applyBorder="1"/>
    <xf numFmtId="0" fontId="1" fillId="3" borderId="6" xfId="0" applyFont="1" applyFill="1" applyBorder="1" applyAlignment="1"/>
    <xf numFmtId="0" fontId="1" fillId="3" borderId="7" xfId="0" applyFont="1" applyFill="1" applyBorder="1" applyAlignment="1"/>
    <xf numFmtId="0" fontId="1" fillId="3" borderId="8" xfId="0" applyFont="1" applyFill="1" applyBorder="1"/>
    <xf numFmtId="0" fontId="0" fillId="2" borderId="9" xfId="0" applyFont="1" applyFill="1" applyBorder="1"/>
    <xf numFmtId="0" fontId="0" fillId="2" borderId="10" xfId="0" applyFont="1" applyFill="1" applyBorder="1"/>
    <xf numFmtId="0" fontId="1" fillId="3" borderId="7" xfId="0" applyFont="1" applyFill="1" applyBorder="1"/>
    <xf numFmtId="0" fontId="0" fillId="2" borderId="3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2" borderId="12" xfId="0" applyFont="1" applyFill="1" applyBorder="1"/>
    <xf numFmtId="164" fontId="2" fillId="2" borderId="2" xfId="1" applyNumberFormat="1" applyFont="1" applyFill="1" applyBorder="1" applyAlignment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13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164" fontId="2" fillId="4" borderId="3" xfId="1" applyNumberFormat="1" applyFont="1" applyFill="1" applyBorder="1" applyAlignment="1">
      <alignment horizontal="center"/>
    </xf>
    <xf numFmtId="164" fontId="2" fillId="4" borderId="4" xfId="1" applyNumberFormat="1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164" fontId="0" fillId="4" borderId="3" xfId="1" applyNumberFormat="1" applyFont="1" applyFill="1" applyBorder="1" applyAlignment="1">
      <alignment horizontal="center"/>
    </xf>
    <xf numFmtId="164" fontId="0" fillId="4" borderId="4" xfId="1" applyNumberFormat="1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1" fillId="3" borderId="14" xfId="0" applyFont="1" applyFill="1" applyBorder="1"/>
    <xf numFmtId="0" fontId="4" fillId="3" borderId="0" xfId="0" applyFont="1" applyFill="1" applyBorder="1"/>
    <xf numFmtId="0" fontId="4" fillId="3" borderId="15" xfId="0" applyFont="1" applyFill="1" applyBorder="1" applyAlignment="1">
      <alignment horizontal="center"/>
    </xf>
    <xf numFmtId="0" fontId="4" fillId="3" borderId="15" xfId="0" applyFont="1" applyFill="1" applyBorder="1"/>
    <xf numFmtId="0" fontId="1" fillId="3" borderId="10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3" borderId="6" xfId="0" applyFont="1" applyFill="1" applyBorder="1"/>
    <xf numFmtId="0" fontId="0" fillId="2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theme="1" tint="4.9989318521683403E-2"/>
        </left>
        <right/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 tint="4.9989318521683403E-2"/>
        </left>
        <right/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border diagonalUp="0" diagonalDown="0">
        <left/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border outline="0">
        <top style="thin">
          <color theme="1" tint="4.9989318521683403E-2"/>
        </top>
      </border>
    </dxf>
    <dxf>
      <border outline="0"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</border>
    </dxf>
    <dxf>
      <border outline="0">
        <bottom style="thin">
          <color theme="1" tint="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theme="1" tint="4.9989318521683403E-2"/>
        </left>
        <right/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border diagonalUp="0" diagonalDown="0">
        <left/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border outline="0">
        <top style="thin">
          <color theme="1" tint="4.9989318521683403E-2"/>
        </top>
      </border>
    </dxf>
    <dxf>
      <border outline="0"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border outline="0">
        <bottom style="thin">
          <color theme="1" tint="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1" tint="4.9989318521683403E-2"/>
        </left>
        <right style="thin">
          <color theme="1" tint="4.9989318521683403E-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581025</xdr:colOff>
      <xdr:row>14</xdr:row>
      <xdr:rowOff>0</xdr:rowOff>
    </xdr:from>
    <xdr:to>
      <xdr:col>22</xdr:col>
      <xdr:colOff>95250</xdr:colOff>
      <xdr:row>23</xdr:row>
      <xdr:rowOff>95250</xdr:rowOff>
    </xdr:to>
    <xdr:sp macro="" textlink="">
      <xdr:nvSpPr>
        <xdr:cNvPr id="8" name="Rectángulo: esquinas diagonales redondeadas 7">
          <a:extLst>
            <a:ext uri="{FF2B5EF4-FFF2-40B4-BE49-F238E27FC236}">
              <a16:creationId xmlns:a16="http://schemas.microsoft.com/office/drawing/2014/main" id="{3F93F6A5-302D-417D-925C-CD42D885CE3E}"/>
            </a:ext>
          </a:extLst>
        </xdr:cNvPr>
        <xdr:cNvSpPr/>
      </xdr:nvSpPr>
      <xdr:spPr>
        <a:xfrm>
          <a:off x="13535025" y="2686050"/>
          <a:ext cx="3324225" cy="1809750"/>
        </a:xfrm>
        <a:prstGeom prst="round2DiagRect">
          <a:avLst/>
        </a:prstGeom>
        <a:solidFill>
          <a:schemeClr val="accent5">
            <a:lumMod val="20000"/>
            <a:lumOff val="80000"/>
          </a:schemeClr>
        </a:solidFill>
        <a:ln w="3810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733425</xdr:colOff>
      <xdr:row>14</xdr:row>
      <xdr:rowOff>28576</xdr:rowOff>
    </xdr:from>
    <xdr:to>
      <xdr:col>24</xdr:col>
      <xdr:colOff>9525</xdr:colOff>
      <xdr:row>24</xdr:row>
      <xdr:rowOff>95250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ED1AA7AF-2B63-4D73-B5D9-B8BFB51EC065}"/>
            </a:ext>
          </a:extLst>
        </xdr:cNvPr>
        <xdr:cNvSpPr/>
      </xdr:nvSpPr>
      <xdr:spPr>
        <a:xfrm>
          <a:off x="13687425" y="2714626"/>
          <a:ext cx="4610100" cy="19716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5000" b="0" cap="none" spc="0">
              <a:ln w="0"/>
              <a:solidFill>
                <a:schemeClr val="accent5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ritannic Bold" panose="020B0903060703020204" pitchFamily="34" charset="0"/>
            </a:rPr>
            <a:t>L</a:t>
          </a:r>
        </a:p>
      </xdr:txBody>
    </xdr:sp>
    <xdr:clientData/>
  </xdr:twoCellAnchor>
  <xdr:twoCellAnchor>
    <xdr:from>
      <xdr:col>18</xdr:col>
      <xdr:colOff>142875</xdr:colOff>
      <xdr:row>13</xdr:row>
      <xdr:rowOff>152400</xdr:rowOff>
    </xdr:from>
    <xdr:to>
      <xdr:col>23</xdr:col>
      <xdr:colOff>647700</xdr:colOff>
      <xdr:row>24</xdr:row>
      <xdr:rowOff>95250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12EB028D-9C6C-4D55-A3E4-FCF85A369280}"/>
            </a:ext>
          </a:extLst>
        </xdr:cNvPr>
        <xdr:cNvSpPr/>
      </xdr:nvSpPr>
      <xdr:spPr>
        <a:xfrm>
          <a:off x="13858875" y="2647950"/>
          <a:ext cx="4314825" cy="2038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5000" b="0" cap="none" spc="0">
              <a:ln w="0"/>
              <a:solidFill>
                <a:schemeClr val="accent5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ritannic Bold" panose="020B0903060703020204" pitchFamily="34" charset="0"/>
            </a:rPr>
            <a:t>P</a:t>
          </a:r>
          <a:r>
            <a:rPr lang="es-CO" sz="5000" b="0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ritannic Bold" panose="020B0903060703020204" pitchFamily="34" charset="0"/>
            </a:rPr>
            <a:t>  </a:t>
          </a:r>
        </a:p>
      </xdr:txBody>
    </xdr:sp>
    <xdr:clientData/>
  </xdr:twoCellAnchor>
  <xdr:twoCellAnchor>
    <xdr:from>
      <xdr:col>18</xdr:col>
      <xdr:colOff>314325</xdr:colOff>
      <xdr:row>13</xdr:row>
      <xdr:rowOff>180975</xdr:rowOff>
    </xdr:from>
    <xdr:to>
      <xdr:col>24</xdr:col>
      <xdr:colOff>57150</xdr:colOff>
      <xdr:row>24</xdr:row>
      <xdr:rowOff>123825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3F6A1FF2-A1DC-4FE5-8E44-15D31C68C3D0}"/>
            </a:ext>
          </a:extLst>
        </xdr:cNvPr>
        <xdr:cNvSpPr/>
      </xdr:nvSpPr>
      <xdr:spPr>
        <a:xfrm>
          <a:off x="14030325" y="2676525"/>
          <a:ext cx="4314825" cy="2038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2000" b="0" cap="none" spc="0">
              <a:ln w="0"/>
              <a:solidFill>
                <a:schemeClr val="accent5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ritannic Bold" panose="020B0903060703020204" pitchFamily="34" charset="0"/>
            </a:rPr>
            <a:t>Market</a:t>
          </a:r>
          <a:r>
            <a:rPr lang="es-CO" sz="5000" b="0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ritannic Bold" panose="020B0903060703020204" pitchFamily="34" charset="0"/>
            </a:rPr>
            <a:t>  </a:t>
          </a:r>
        </a:p>
      </xdr:txBody>
    </xdr:sp>
    <xdr:clientData/>
  </xdr:twoCellAnchor>
  <xdr:oneCellAnchor>
    <xdr:from>
      <xdr:col>18</xdr:col>
      <xdr:colOff>142875</xdr:colOff>
      <xdr:row>16</xdr:row>
      <xdr:rowOff>150630</xdr:rowOff>
    </xdr:from>
    <xdr:ext cx="2819399" cy="111530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EB0E2A7D-CAD6-4F74-8FD7-23B23FDF777A}"/>
            </a:ext>
          </a:extLst>
        </xdr:cNvPr>
        <xdr:cNvSpPr txBox="1"/>
      </xdr:nvSpPr>
      <xdr:spPr>
        <a:xfrm>
          <a:off x="13858875" y="3217680"/>
          <a:ext cx="2819399" cy="11153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r"/>
          <a:r>
            <a:rPr lang="es-CO" sz="1200">
              <a:solidFill>
                <a:schemeClr val="accent5">
                  <a:lumMod val="75000"/>
                </a:schemeClr>
              </a:solidFill>
              <a:latin typeface="Britannic Bold" panose="020B0903060703020204" pitchFamily="34" charset="0"/>
            </a:rPr>
            <a:t>NIT:1113705140</a:t>
          </a:r>
        </a:p>
        <a:p>
          <a:pPr algn="r"/>
          <a:r>
            <a:rPr lang="es-CO" sz="1200">
              <a:solidFill>
                <a:schemeClr val="accent5">
                  <a:lumMod val="75000"/>
                </a:schemeClr>
              </a:solidFill>
              <a:latin typeface="Britannic Bold" panose="020B0903060703020204" pitchFamily="34" charset="0"/>
            </a:rPr>
            <a:t>CORREO: LOPEZ12SILVAJD@GMAIL.COM</a:t>
          </a:r>
        </a:p>
        <a:p>
          <a:pPr algn="r"/>
          <a:r>
            <a:rPr lang="es-CO" sz="1200">
              <a:solidFill>
                <a:schemeClr val="accent5">
                  <a:lumMod val="75000"/>
                </a:schemeClr>
              </a:solidFill>
              <a:latin typeface="Britannic Bold" panose="020B0903060703020204" pitchFamily="34" charset="0"/>
            </a:rPr>
            <a:t>PALMIRA</a:t>
          </a:r>
          <a:r>
            <a:rPr lang="es-CO" sz="1200" baseline="0">
              <a:solidFill>
                <a:schemeClr val="accent5">
                  <a:lumMod val="75000"/>
                </a:schemeClr>
              </a:solidFill>
              <a:latin typeface="Britannic Bold" panose="020B0903060703020204" pitchFamily="34" charset="0"/>
            </a:rPr>
            <a:t> - VALLE</a:t>
          </a:r>
        </a:p>
        <a:p>
          <a:pPr algn="r"/>
          <a:r>
            <a:rPr lang="es-CO" sz="1200" baseline="0">
              <a:solidFill>
                <a:schemeClr val="accent5">
                  <a:lumMod val="75000"/>
                </a:schemeClr>
              </a:solidFill>
              <a:latin typeface="Britannic Bold" panose="020B0903060703020204" pitchFamily="34" charset="0"/>
            </a:rPr>
            <a:t>EDIFICIO CENTRAL</a:t>
          </a:r>
        </a:p>
        <a:p>
          <a:pPr algn="r"/>
          <a:r>
            <a:rPr lang="es-CO" sz="1200" baseline="0">
              <a:solidFill>
                <a:schemeClr val="accent5">
                  <a:lumMod val="75000"/>
                </a:schemeClr>
              </a:solidFill>
              <a:latin typeface="Britannic Bold" panose="020B0903060703020204" pitchFamily="34" charset="0"/>
            </a:rPr>
            <a:t>TEL: 3052348583</a:t>
          </a:r>
          <a:endParaRPr lang="es-CO" sz="1200">
            <a:solidFill>
              <a:schemeClr val="accent5">
                <a:lumMod val="75000"/>
              </a:schemeClr>
            </a:solidFill>
            <a:latin typeface="Britannic Bold" panose="020B0903060703020204" pitchFamily="34" charset="0"/>
          </a:endParaRPr>
        </a:p>
      </xdr:txBody>
    </xdr:sp>
    <xdr:clientData/>
  </xdr:oneCellAnchor>
  <xdr:twoCellAnchor editAs="oneCell">
    <xdr:from>
      <xdr:col>17</xdr:col>
      <xdr:colOff>647700</xdr:colOff>
      <xdr:row>18</xdr:row>
      <xdr:rowOff>123825</xdr:rowOff>
    </xdr:from>
    <xdr:to>
      <xdr:col>19</xdr:col>
      <xdr:colOff>38100</xdr:colOff>
      <xdr:row>23</xdr:row>
      <xdr:rowOff>85725</xdr:rowOff>
    </xdr:to>
    <xdr:pic>
      <xdr:nvPicPr>
        <xdr:cNvPr id="11" name="Gráfico 10" descr="Carro de la compra">
          <a:extLst>
            <a:ext uri="{FF2B5EF4-FFF2-40B4-BE49-F238E27FC236}">
              <a16:creationId xmlns:a16="http://schemas.microsoft.com/office/drawing/2014/main" id="{97E2FDE6-C8F0-4987-A16F-450A8E117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601700" y="357187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18</xdr:col>
      <xdr:colOff>521475</xdr:colOff>
      <xdr:row>18</xdr:row>
      <xdr:rowOff>178575</xdr:rowOff>
    </xdr:from>
    <xdr:to>
      <xdr:col>19</xdr:col>
      <xdr:colOff>673875</xdr:colOff>
      <xdr:row>23</xdr:row>
      <xdr:rowOff>140475</xdr:rowOff>
    </xdr:to>
    <xdr:pic>
      <xdr:nvPicPr>
        <xdr:cNvPr id="13" name="Gráfico 12" descr="Etiqueta">
          <a:extLst>
            <a:ext uri="{FF2B5EF4-FFF2-40B4-BE49-F238E27FC236}">
              <a16:creationId xmlns:a16="http://schemas.microsoft.com/office/drawing/2014/main" id="{ADE040EC-5698-4FDD-81B0-FF076D08B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237475" y="362662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17008</xdr:colOff>
      <xdr:row>1</xdr:row>
      <xdr:rowOff>99908</xdr:rowOff>
    </xdr:from>
    <xdr:to>
      <xdr:col>13</xdr:col>
      <xdr:colOff>756897</xdr:colOff>
      <xdr:row>7</xdr:row>
      <xdr:rowOff>181547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7E645790-D475-4A03-9E3B-F1A1004EF3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20225" t="40012" r="36683" b="18463"/>
        <a:stretch/>
      </xdr:blipFill>
      <xdr:spPr>
        <a:xfrm>
          <a:off x="8436428" y="287006"/>
          <a:ext cx="2270692" cy="120422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E332D2-D4DD-41D1-AE5C-8E66E0AB21EA}" name="CLIENTES" displayName="CLIENTES" ref="A1:E21" totalsRowShown="0" headerRowDxfId="19" dataDxfId="17" headerRowBorderDxfId="18" tableBorderDxfId="16" totalsRowBorderDxfId="15">
  <autoFilter ref="A1:E21" xr:uid="{DCD4D084-3A17-4B9C-8408-110CADA6CED5}"/>
  <tableColumns count="5">
    <tableColumn id="1" xr3:uid="{F10951C3-F124-4C39-AB3B-7EFAB6CB885F}" name="ID" dataDxfId="14"/>
    <tableColumn id="2" xr3:uid="{B5F4C6BE-7BD3-4BA1-BA9F-E2CF5708952A}" name="NOMBRE" dataDxfId="13"/>
    <tableColumn id="3" xr3:uid="{CEDC7FEE-9E16-41D4-93C3-82AB3F5673C1}" name="APELLIDO" dataDxfId="12"/>
    <tableColumn id="4" xr3:uid="{5963D609-79E1-4D70-AF44-18FD173DB080}" name="CIUDAD" dataDxfId="11"/>
    <tableColumn id="5" xr3:uid="{E5DF714E-A565-45C5-A70F-4044673BF631}" name="TELEFONO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D78344-57EA-45B0-B00E-E88416C6C8BD}" name="EMPLEADOS" displayName="EMPLEADOS" ref="A1:C11" totalsRowShown="0" headerRowBorderDxfId="9" tableBorderDxfId="8" totalsRowBorderDxfId="7">
  <autoFilter ref="A1:C11" xr:uid="{FE5A1E2C-F4EA-4DE5-99D0-E7B61A07392A}"/>
  <tableColumns count="3">
    <tableColumn id="1" xr3:uid="{18612E73-186A-4385-AAEB-9AE3B395ED46}" name="ID" dataDxfId="6"/>
    <tableColumn id="2" xr3:uid="{C84CDBD2-4C12-4B42-A5D9-D41C440AD9B2}" name="NOMBRE COMPLETO" dataDxfId="5"/>
    <tableColumn id="4" xr3:uid="{461CCED3-34BE-4E3E-8FDD-7399674091B7}" name="TELEFONO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5005CD-DF35-4AF5-A4D1-1D5B75A36D3B}" name="PRODUCTOS" displayName="PRODUCTOS" ref="A1:C21" totalsRowShown="0" tableBorderDxfId="3">
  <autoFilter ref="A1:C21" xr:uid="{6524DD5C-A098-42A0-8BB6-E1F38F5CA310}"/>
  <tableColumns count="3">
    <tableColumn id="1" xr3:uid="{5D362A30-A433-4459-9C1A-3E76D718E1DD}" name="ID" dataDxfId="2"/>
    <tableColumn id="2" xr3:uid="{1E849159-DC52-46BB-A11E-60B6E3C9BB6D}" name="NOMBRE DEL PRODUCTO" dataDxfId="1"/>
    <tableColumn id="3" xr3:uid="{07687FC8-0D30-4F0F-99C3-A5CC28170384}" name="V. UNITAR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041A2-FF7D-43B9-8521-20349C920767}">
  <sheetPr>
    <tabColor theme="4" tint="0.79998168889431442"/>
  </sheetPr>
  <dimension ref="A1:E21"/>
  <sheetViews>
    <sheetView tabSelected="1" workbookViewId="0">
      <selection sqref="A1:E21"/>
    </sheetView>
  </sheetViews>
  <sheetFormatPr baseColWidth="10" defaultRowHeight="15" x14ac:dyDescent="0.25"/>
  <cols>
    <col min="2" max="5" width="14.7109375" customWidth="1"/>
  </cols>
  <sheetData>
    <row r="1" spans="1:5" x14ac:dyDescent="0.25">
      <c r="A1" s="8" t="s">
        <v>0</v>
      </c>
      <c r="B1" s="9" t="s">
        <v>13</v>
      </c>
      <c r="C1" s="9" t="s">
        <v>14</v>
      </c>
      <c r="D1" s="9" t="s">
        <v>15</v>
      </c>
      <c r="E1" s="10" t="s">
        <v>2</v>
      </c>
    </row>
    <row r="2" spans="1:5" x14ac:dyDescent="0.25">
      <c r="A2" s="6" t="s">
        <v>16</v>
      </c>
      <c r="B2" s="1" t="s">
        <v>58</v>
      </c>
      <c r="C2" s="1" t="s">
        <v>78</v>
      </c>
      <c r="D2" s="1" t="s">
        <v>97</v>
      </c>
      <c r="E2" s="7">
        <v>3051234000</v>
      </c>
    </row>
    <row r="3" spans="1:5" x14ac:dyDescent="0.25">
      <c r="A3" s="6" t="s">
        <v>17</v>
      </c>
      <c r="B3" s="1" t="s">
        <v>59</v>
      </c>
      <c r="C3" s="1" t="s">
        <v>79</v>
      </c>
      <c r="D3" s="1" t="s">
        <v>98</v>
      </c>
      <c r="E3" s="7">
        <v>3051234001</v>
      </c>
    </row>
    <row r="4" spans="1:5" x14ac:dyDescent="0.25">
      <c r="A4" s="6" t="s">
        <v>18</v>
      </c>
      <c r="B4" s="1" t="s">
        <v>60</v>
      </c>
      <c r="C4" s="1" t="s">
        <v>80</v>
      </c>
      <c r="D4" s="1" t="s">
        <v>99</v>
      </c>
      <c r="E4" s="7">
        <v>3051234002</v>
      </c>
    </row>
    <row r="5" spans="1:5" x14ac:dyDescent="0.25">
      <c r="A5" s="6" t="s">
        <v>19</v>
      </c>
      <c r="B5" s="1" t="s">
        <v>61</v>
      </c>
      <c r="C5" s="1" t="s">
        <v>81</v>
      </c>
      <c r="D5" s="1" t="s">
        <v>100</v>
      </c>
      <c r="E5" s="7">
        <v>3051234003</v>
      </c>
    </row>
    <row r="6" spans="1:5" x14ac:dyDescent="0.25">
      <c r="A6" s="6" t="s">
        <v>20</v>
      </c>
      <c r="B6" s="1" t="s">
        <v>62</v>
      </c>
      <c r="C6" s="1" t="s">
        <v>82</v>
      </c>
      <c r="D6" s="1" t="s">
        <v>101</v>
      </c>
      <c r="E6" s="7">
        <v>3051234004</v>
      </c>
    </row>
    <row r="7" spans="1:5" x14ac:dyDescent="0.25">
      <c r="A7" s="6" t="s">
        <v>21</v>
      </c>
      <c r="B7" s="1" t="s">
        <v>63</v>
      </c>
      <c r="C7" s="1" t="s">
        <v>83</v>
      </c>
      <c r="D7" s="1" t="s">
        <v>97</v>
      </c>
      <c r="E7" s="7">
        <v>3051234005</v>
      </c>
    </row>
    <row r="8" spans="1:5" x14ac:dyDescent="0.25">
      <c r="A8" s="6" t="s">
        <v>22</v>
      </c>
      <c r="B8" s="1" t="s">
        <v>64</v>
      </c>
      <c r="C8" s="1" t="s">
        <v>84</v>
      </c>
      <c r="D8" s="1" t="s">
        <v>98</v>
      </c>
      <c r="E8" s="7">
        <v>3051234006</v>
      </c>
    </row>
    <row r="9" spans="1:5" x14ac:dyDescent="0.25">
      <c r="A9" s="6" t="s">
        <v>23</v>
      </c>
      <c r="B9" s="1" t="s">
        <v>65</v>
      </c>
      <c r="C9" s="1" t="s">
        <v>79</v>
      </c>
      <c r="D9" s="1" t="s">
        <v>99</v>
      </c>
      <c r="E9" s="7">
        <v>3051234007</v>
      </c>
    </row>
    <row r="10" spans="1:5" x14ac:dyDescent="0.25">
      <c r="A10" s="6" t="s">
        <v>24</v>
      </c>
      <c r="B10" s="1" t="s">
        <v>66</v>
      </c>
      <c r="C10" s="1" t="s">
        <v>85</v>
      </c>
      <c r="D10" s="1" t="s">
        <v>100</v>
      </c>
      <c r="E10" s="7">
        <v>3051234008</v>
      </c>
    </row>
    <row r="11" spans="1:5" x14ac:dyDescent="0.25">
      <c r="A11" s="6" t="s">
        <v>25</v>
      </c>
      <c r="B11" s="1" t="s">
        <v>67</v>
      </c>
      <c r="C11" s="1" t="s">
        <v>86</v>
      </c>
      <c r="D11" s="1" t="s">
        <v>101</v>
      </c>
      <c r="E11" s="7">
        <v>3051234009</v>
      </c>
    </row>
    <row r="12" spans="1:5" x14ac:dyDescent="0.25">
      <c r="A12" s="6" t="s">
        <v>26</v>
      </c>
      <c r="B12" s="1" t="s">
        <v>68</v>
      </c>
      <c r="C12" s="1" t="s">
        <v>87</v>
      </c>
      <c r="D12" s="1" t="s">
        <v>97</v>
      </c>
      <c r="E12" s="7">
        <v>3051234010</v>
      </c>
    </row>
    <row r="13" spans="1:5" x14ac:dyDescent="0.25">
      <c r="A13" s="6" t="s">
        <v>27</v>
      </c>
      <c r="B13" s="1" t="s">
        <v>69</v>
      </c>
      <c r="C13" s="1" t="s">
        <v>88</v>
      </c>
      <c r="D13" s="1" t="s">
        <v>98</v>
      </c>
      <c r="E13" s="7">
        <v>3051234011</v>
      </c>
    </row>
    <row r="14" spans="1:5" x14ac:dyDescent="0.25">
      <c r="A14" s="6" t="s">
        <v>28</v>
      </c>
      <c r="B14" s="1" t="s">
        <v>70</v>
      </c>
      <c r="C14" s="1" t="s">
        <v>89</v>
      </c>
      <c r="D14" s="1" t="s">
        <v>99</v>
      </c>
      <c r="E14" s="7">
        <v>3051234012</v>
      </c>
    </row>
    <row r="15" spans="1:5" x14ac:dyDescent="0.25">
      <c r="A15" s="6" t="s">
        <v>29</v>
      </c>
      <c r="B15" s="1" t="s">
        <v>71</v>
      </c>
      <c r="C15" s="1" t="s">
        <v>90</v>
      </c>
      <c r="D15" s="1" t="s">
        <v>100</v>
      </c>
      <c r="E15" s="7">
        <v>3051234013</v>
      </c>
    </row>
    <row r="16" spans="1:5" x14ac:dyDescent="0.25">
      <c r="A16" s="6" t="s">
        <v>30</v>
      </c>
      <c r="B16" s="1" t="s">
        <v>72</v>
      </c>
      <c r="C16" s="1" t="s">
        <v>91</v>
      </c>
      <c r="D16" s="1" t="s">
        <v>101</v>
      </c>
      <c r="E16" s="7">
        <v>3051234014</v>
      </c>
    </row>
    <row r="17" spans="1:5" x14ac:dyDescent="0.25">
      <c r="A17" s="6" t="s">
        <v>31</v>
      </c>
      <c r="B17" s="1" t="s">
        <v>73</v>
      </c>
      <c r="C17" s="1" t="s">
        <v>92</v>
      </c>
      <c r="D17" s="1" t="s">
        <v>97</v>
      </c>
      <c r="E17" s="7">
        <v>3051234015</v>
      </c>
    </row>
    <row r="18" spans="1:5" x14ac:dyDescent="0.25">
      <c r="A18" s="6" t="s">
        <v>32</v>
      </c>
      <c r="B18" s="1" t="s">
        <v>74</v>
      </c>
      <c r="C18" s="1" t="s">
        <v>93</v>
      </c>
      <c r="D18" s="1" t="s">
        <v>98</v>
      </c>
      <c r="E18" s="7">
        <v>3051234016</v>
      </c>
    </row>
    <row r="19" spans="1:5" x14ac:dyDescent="0.25">
      <c r="A19" s="6" t="s">
        <v>33</v>
      </c>
      <c r="B19" s="1" t="s">
        <v>75</v>
      </c>
      <c r="C19" s="1" t="s">
        <v>94</v>
      </c>
      <c r="D19" s="1" t="s">
        <v>99</v>
      </c>
      <c r="E19" s="7">
        <v>3051234017</v>
      </c>
    </row>
    <row r="20" spans="1:5" x14ac:dyDescent="0.25">
      <c r="A20" s="6" t="s">
        <v>34</v>
      </c>
      <c r="B20" s="1" t="s">
        <v>76</v>
      </c>
      <c r="C20" s="1" t="s">
        <v>95</v>
      </c>
      <c r="D20" s="1" t="s">
        <v>100</v>
      </c>
      <c r="E20" s="7">
        <v>3051234018</v>
      </c>
    </row>
    <row r="21" spans="1:5" x14ac:dyDescent="0.25">
      <c r="A21" s="11" t="s">
        <v>35</v>
      </c>
      <c r="B21" s="12" t="s">
        <v>77</v>
      </c>
      <c r="C21" s="12" t="s">
        <v>96</v>
      </c>
      <c r="D21" s="12" t="s">
        <v>101</v>
      </c>
      <c r="E21" s="13">
        <v>3051234019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4A5EF-FE19-427C-8D8E-1DC390BC11AF}">
  <sheetPr>
    <tabColor theme="4" tint="0.59999389629810485"/>
  </sheetPr>
  <dimension ref="A1:C11"/>
  <sheetViews>
    <sheetView workbookViewId="0">
      <selection activeCell="B2" sqref="B2"/>
    </sheetView>
  </sheetViews>
  <sheetFormatPr baseColWidth="10" defaultRowHeight="15" x14ac:dyDescent="0.25"/>
  <cols>
    <col min="2" max="2" width="30.28515625" customWidth="1"/>
    <col min="3" max="3" width="17" customWidth="1"/>
    <col min="4" max="4" width="14.7109375" customWidth="1"/>
  </cols>
  <sheetData>
    <row r="1" spans="1:3" x14ac:dyDescent="0.25">
      <c r="A1" s="8" t="s">
        <v>0</v>
      </c>
      <c r="B1" s="16" t="s">
        <v>1</v>
      </c>
      <c r="C1" s="14" t="s">
        <v>2</v>
      </c>
    </row>
    <row r="2" spans="1:3" x14ac:dyDescent="0.25">
      <c r="A2" s="6" t="s">
        <v>3</v>
      </c>
      <c r="B2" s="15" t="s">
        <v>122</v>
      </c>
      <c r="C2" s="7">
        <v>3061234004</v>
      </c>
    </row>
    <row r="3" spans="1:3" x14ac:dyDescent="0.25">
      <c r="A3" s="6" t="s">
        <v>5</v>
      </c>
      <c r="B3" s="15" t="s">
        <v>123</v>
      </c>
      <c r="C3" s="7">
        <v>3061234005</v>
      </c>
    </row>
    <row r="4" spans="1:3" x14ac:dyDescent="0.25">
      <c r="A4" s="6" t="s">
        <v>6</v>
      </c>
      <c r="B4" s="15" t="s">
        <v>124</v>
      </c>
      <c r="C4" s="7">
        <v>3061234006</v>
      </c>
    </row>
    <row r="5" spans="1:3" x14ac:dyDescent="0.25">
      <c r="A5" s="6" t="s">
        <v>7</v>
      </c>
      <c r="B5" s="15" t="s">
        <v>125</v>
      </c>
      <c r="C5" s="7">
        <v>3061234007</v>
      </c>
    </row>
    <row r="6" spans="1:3" x14ac:dyDescent="0.25">
      <c r="A6" s="6" t="s">
        <v>8</v>
      </c>
      <c r="B6" s="15" t="s">
        <v>126</v>
      </c>
      <c r="C6" s="7">
        <v>3061234008</v>
      </c>
    </row>
    <row r="7" spans="1:3" x14ac:dyDescent="0.25">
      <c r="A7" s="6" t="s">
        <v>9</v>
      </c>
      <c r="B7" s="15" t="s">
        <v>127</v>
      </c>
      <c r="C7" s="7">
        <v>3061234009</v>
      </c>
    </row>
    <row r="8" spans="1:3" x14ac:dyDescent="0.25">
      <c r="A8" s="6" t="s">
        <v>10</v>
      </c>
      <c r="B8" s="15" t="s">
        <v>128</v>
      </c>
      <c r="C8" s="7">
        <v>3061234010</v>
      </c>
    </row>
    <row r="9" spans="1:3" x14ac:dyDescent="0.25">
      <c r="A9" s="6" t="s">
        <v>11</v>
      </c>
      <c r="B9" s="15" t="s">
        <v>129</v>
      </c>
      <c r="C9" s="7">
        <v>3061234011</v>
      </c>
    </row>
    <row r="10" spans="1:3" x14ac:dyDescent="0.25">
      <c r="A10" s="6" t="s">
        <v>12</v>
      </c>
      <c r="B10" s="15" t="s">
        <v>130</v>
      </c>
      <c r="C10" s="7">
        <v>3061234012</v>
      </c>
    </row>
    <row r="11" spans="1:3" x14ac:dyDescent="0.25">
      <c r="A11" s="11" t="s">
        <v>4</v>
      </c>
      <c r="B11" s="17" t="s">
        <v>131</v>
      </c>
      <c r="C11" s="13">
        <v>3061234013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2ED9-46BA-4F50-A8E4-60094E0B05D3}">
  <sheetPr>
    <tabColor theme="4" tint="0.39997558519241921"/>
  </sheetPr>
  <dimension ref="A1:C21"/>
  <sheetViews>
    <sheetView workbookViewId="0">
      <selection activeCell="C7" sqref="C7"/>
    </sheetView>
  </sheetViews>
  <sheetFormatPr baseColWidth="10" defaultRowHeight="15" x14ac:dyDescent="0.25"/>
  <cols>
    <col min="2" max="2" width="25.140625" customWidth="1"/>
    <col min="3" max="3" width="15.7109375" customWidth="1"/>
    <col min="4" max="4" width="14.7109375" customWidth="1"/>
  </cols>
  <sheetData>
    <row r="1" spans="1:3" x14ac:dyDescent="0.25">
      <c r="A1" s="36" t="s">
        <v>0</v>
      </c>
      <c r="B1" s="37" t="s">
        <v>36</v>
      </c>
      <c r="C1" s="38" t="s">
        <v>37</v>
      </c>
    </row>
    <row r="2" spans="1:3" x14ac:dyDescent="0.25">
      <c r="A2" s="35" t="s">
        <v>38</v>
      </c>
      <c r="B2" s="34" t="s">
        <v>102</v>
      </c>
      <c r="C2" s="18">
        <v>2324</v>
      </c>
    </row>
    <row r="3" spans="1:3" x14ac:dyDescent="0.25">
      <c r="A3" s="35" t="s">
        <v>39</v>
      </c>
      <c r="B3" s="34" t="s">
        <v>103</v>
      </c>
      <c r="C3" s="18">
        <v>1875</v>
      </c>
    </row>
    <row r="4" spans="1:3" x14ac:dyDescent="0.25">
      <c r="A4" s="35" t="s">
        <v>40</v>
      </c>
      <c r="B4" s="34" t="s">
        <v>104</v>
      </c>
      <c r="C4" s="18">
        <v>2190</v>
      </c>
    </row>
    <row r="5" spans="1:3" x14ac:dyDescent="0.25">
      <c r="A5" s="35" t="s">
        <v>41</v>
      </c>
      <c r="B5" s="34" t="s">
        <v>105</v>
      </c>
      <c r="C5" s="18">
        <v>3440</v>
      </c>
    </row>
    <row r="6" spans="1:3" x14ac:dyDescent="0.25">
      <c r="A6" s="35" t="s">
        <v>42</v>
      </c>
      <c r="B6" s="34" t="s">
        <v>106</v>
      </c>
      <c r="C6" s="18">
        <v>4334</v>
      </c>
    </row>
    <row r="7" spans="1:3" x14ac:dyDescent="0.25">
      <c r="A7" s="35" t="s">
        <v>43</v>
      </c>
      <c r="B7" s="34" t="s">
        <v>107</v>
      </c>
      <c r="C7" s="18">
        <v>1865</v>
      </c>
    </row>
    <row r="8" spans="1:3" x14ac:dyDescent="0.25">
      <c r="A8" s="35" t="s">
        <v>44</v>
      </c>
      <c r="B8" s="34" t="s">
        <v>108</v>
      </c>
      <c r="C8" s="18">
        <v>1361</v>
      </c>
    </row>
    <row r="9" spans="1:3" x14ac:dyDescent="0.25">
      <c r="A9" s="35" t="s">
        <v>45</v>
      </c>
      <c r="B9" s="34" t="s">
        <v>109</v>
      </c>
      <c r="C9" s="18">
        <v>4016</v>
      </c>
    </row>
    <row r="10" spans="1:3" x14ac:dyDescent="0.25">
      <c r="A10" s="35" t="s">
        <v>46</v>
      </c>
      <c r="B10" s="34" t="s">
        <v>110</v>
      </c>
      <c r="C10" s="18">
        <v>4173</v>
      </c>
    </row>
    <row r="11" spans="1:3" x14ac:dyDescent="0.25">
      <c r="A11" s="35" t="s">
        <v>47</v>
      </c>
      <c r="B11" s="34" t="s">
        <v>111</v>
      </c>
      <c r="C11" s="18">
        <v>3433</v>
      </c>
    </row>
    <row r="12" spans="1:3" x14ac:dyDescent="0.25">
      <c r="A12" s="35" t="s">
        <v>48</v>
      </c>
      <c r="B12" s="34" t="s">
        <v>112</v>
      </c>
      <c r="C12" s="18">
        <v>4756</v>
      </c>
    </row>
    <row r="13" spans="1:3" x14ac:dyDescent="0.25">
      <c r="A13" s="35" t="s">
        <v>49</v>
      </c>
      <c r="B13" s="34" t="s">
        <v>113</v>
      </c>
      <c r="C13" s="18">
        <v>4519</v>
      </c>
    </row>
    <row r="14" spans="1:3" x14ac:dyDescent="0.25">
      <c r="A14" s="35" t="s">
        <v>50</v>
      </c>
      <c r="B14" s="34" t="s">
        <v>114</v>
      </c>
      <c r="C14" s="18">
        <v>2779</v>
      </c>
    </row>
    <row r="15" spans="1:3" x14ac:dyDescent="0.25">
      <c r="A15" s="35" t="s">
        <v>51</v>
      </c>
      <c r="B15" s="34" t="s">
        <v>115</v>
      </c>
      <c r="C15" s="18">
        <v>3924</v>
      </c>
    </row>
    <row r="16" spans="1:3" x14ac:dyDescent="0.25">
      <c r="A16" s="35" t="s">
        <v>52</v>
      </c>
      <c r="B16" s="34" t="s">
        <v>116</v>
      </c>
      <c r="C16" s="18">
        <v>2038</v>
      </c>
    </row>
    <row r="17" spans="1:3" x14ac:dyDescent="0.25">
      <c r="A17" s="35" t="s">
        <v>53</v>
      </c>
      <c r="B17" s="34" t="s">
        <v>117</v>
      </c>
      <c r="C17" s="18">
        <v>2686</v>
      </c>
    </row>
    <row r="18" spans="1:3" x14ac:dyDescent="0.25">
      <c r="A18" s="35" t="s">
        <v>54</v>
      </c>
      <c r="B18" s="34" t="s">
        <v>118</v>
      </c>
      <c r="C18" s="18">
        <v>3081</v>
      </c>
    </row>
    <row r="19" spans="1:3" x14ac:dyDescent="0.25">
      <c r="A19" s="35" t="s">
        <v>55</v>
      </c>
      <c r="B19" s="34" t="s">
        <v>119</v>
      </c>
      <c r="C19" s="18">
        <v>3023</v>
      </c>
    </row>
    <row r="20" spans="1:3" x14ac:dyDescent="0.25">
      <c r="A20" s="35" t="s">
        <v>56</v>
      </c>
      <c r="B20" s="34" t="s">
        <v>120</v>
      </c>
      <c r="C20" s="18">
        <v>1533</v>
      </c>
    </row>
    <row r="21" spans="1:3" x14ac:dyDescent="0.25">
      <c r="A21" s="35" t="s">
        <v>57</v>
      </c>
      <c r="B21" s="34" t="s">
        <v>121</v>
      </c>
      <c r="C21" s="18">
        <v>3834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40360-4228-4038-9457-12B921287901}">
  <sheetPr>
    <tabColor theme="4" tint="-0.249977111117893"/>
  </sheetPr>
  <dimension ref="E6:N29"/>
  <sheetViews>
    <sheetView zoomScaleNormal="100" workbookViewId="0">
      <selection activeCell="Q27" sqref="Q27"/>
    </sheetView>
  </sheetViews>
  <sheetFormatPr baseColWidth="10" defaultRowHeight="15" x14ac:dyDescent="0.25"/>
  <sheetData>
    <row r="6" spans="5:14" x14ac:dyDescent="0.25">
      <c r="E6" s="23" t="s">
        <v>132</v>
      </c>
      <c r="F6" s="21"/>
      <c r="G6" s="22"/>
      <c r="H6" s="22"/>
      <c r="I6" s="22"/>
      <c r="J6" s="22"/>
      <c r="K6" s="22"/>
    </row>
    <row r="7" spans="5:14" x14ac:dyDescent="0.25">
      <c r="E7" s="23" t="s">
        <v>133</v>
      </c>
      <c r="F7" s="21"/>
      <c r="G7" s="22"/>
      <c r="H7" s="22"/>
      <c r="I7" s="22"/>
      <c r="J7" s="22"/>
      <c r="K7" s="22"/>
    </row>
    <row r="8" spans="5:14" x14ac:dyDescent="0.25">
      <c r="E8" s="39" t="s">
        <v>1</v>
      </c>
      <c r="F8" s="40"/>
      <c r="G8" s="41" t="str">
        <f>IFERROR(VLOOKUP(G7,EMPLEADOS[],2,0),"")</f>
        <v/>
      </c>
      <c r="H8" s="41"/>
      <c r="I8" s="41"/>
      <c r="J8" s="41"/>
      <c r="K8" s="41"/>
    </row>
    <row r="9" spans="5:14" x14ac:dyDescent="0.25">
      <c r="E9" s="44" t="s">
        <v>2</v>
      </c>
      <c r="F9" s="44"/>
      <c r="G9" s="22" t="str">
        <f>IFERROR(VLOOKUP(G7,EMPLEADOS[],3,0),"")</f>
        <v/>
      </c>
      <c r="H9" s="22"/>
      <c r="I9" s="22"/>
      <c r="J9" s="22"/>
      <c r="K9" s="22"/>
      <c r="L9" s="5" t="s">
        <v>134</v>
      </c>
      <c r="M9" s="24">
        <f ca="1">TODAY()</f>
        <v>46155</v>
      </c>
      <c r="N9" s="22"/>
    </row>
    <row r="10" spans="5:14" x14ac:dyDescent="0.25">
      <c r="E10" s="45" t="s">
        <v>143</v>
      </c>
      <c r="F10" s="45"/>
      <c r="G10" s="45"/>
      <c r="H10" s="45"/>
      <c r="I10" s="45"/>
      <c r="J10" s="45"/>
      <c r="K10" s="45"/>
      <c r="L10" s="45"/>
      <c r="M10" s="45"/>
      <c r="N10" s="45"/>
    </row>
    <row r="11" spans="5:14" x14ac:dyDescent="0.25">
      <c r="E11" s="45"/>
      <c r="F11" s="45"/>
      <c r="G11" s="45"/>
      <c r="H11" s="45"/>
      <c r="I11" s="45"/>
      <c r="J11" s="45"/>
      <c r="K11" s="45"/>
      <c r="L11" s="45"/>
      <c r="M11" s="45"/>
      <c r="N11" s="45"/>
    </row>
    <row r="12" spans="5:14" x14ac:dyDescent="0.25">
      <c r="E12" s="45"/>
      <c r="F12" s="45"/>
      <c r="G12" s="45"/>
      <c r="H12" s="45"/>
      <c r="I12" s="45"/>
      <c r="J12" s="45"/>
      <c r="K12" s="45"/>
      <c r="L12" s="45"/>
      <c r="M12" s="45"/>
      <c r="N12" s="45"/>
    </row>
    <row r="13" spans="5:14" x14ac:dyDescent="0.25">
      <c r="E13" s="42" t="s">
        <v>13</v>
      </c>
      <c r="F13" s="43" t="str">
        <f>IFERROR(VLOOKUP(G6,CLIENTES[],2,0),"")</f>
        <v/>
      </c>
      <c r="G13" s="43"/>
      <c r="H13" s="43"/>
      <c r="I13" s="43"/>
      <c r="J13" s="42" t="s">
        <v>135</v>
      </c>
      <c r="K13" s="43" t="str">
        <f>IFERROR(VLOOKUP(G6,CLIENTES[],4,0),"")</f>
        <v/>
      </c>
      <c r="L13" s="43"/>
      <c r="M13" s="43"/>
      <c r="N13" s="43"/>
    </row>
    <row r="14" spans="5:14" x14ac:dyDescent="0.25">
      <c r="E14" s="2" t="s">
        <v>14</v>
      </c>
      <c r="F14" s="25" t="str">
        <f>IFERROR(VLOOKUP(G6,CLIENTES[],3,0),"")</f>
        <v/>
      </c>
      <c r="G14" s="25"/>
      <c r="H14" s="25"/>
      <c r="I14" s="25"/>
      <c r="J14" s="2" t="s">
        <v>2</v>
      </c>
      <c r="K14" s="25" t="str">
        <f>IFERROR(VLOOKUP(G6,CLIENTES[],5,0),"")</f>
        <v/>
      </c>
      <c r="L14" s="25"/>
      <c r="M14" s="25"/>
      <c r="N14" s="25"/>
    </row>
    <row r="15" spans="5:14" x14ac:dyDescent="0.25">
      <c r="E15" s="20" t="s">
        <v>136</v>
      </c>
      <c r="F15" s="20"/>
      <c r="G15" s="20"/>
      <c r="H15" s="20"/>
      <c r="I15" s="20"/>
      <c r="J15" s="20"/>
      <c r="K15" s="20"/>
      <c r="L15" s="20"/>
      <c r="M15" s="20"/>
      <c r="N15" s="20"/>
    </row>
    <row r="16" spans="5:14" x14ac:dyDescent="0.25">
      <c r="E16" s="20"/>
      <c r="F16" s="20"/>
      <c r="G16" s="20"/>
      <c r="H16" s="20"/>
      <c r="I16" s="20"/>
      <c r="J16" s="20"/>
      <c r="K16" s="20"/>
      <c r="L16" s="20"/>
      <c r="M16" s="20"/>
      <c r="N16" s="20"/>
    </row>
    <row r="17" spans="5:14" x14ac:dyDescent="0.25"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5:14" x14ac:dyDescent="0.25">
      <c r="E18" s="2" t="s">
        <v>0</v>
      </c>
      <c r="F18" s="23" t="s">
        <v>137</v>
      </c>
      <c r="G18" s="23"/>
      <c r="H18" s="23"/>
      <c r="I18" s="23"/>
      <c r="J18" s="23" t="s">
        <v>138</v>
      </c>
      <c r="K18" s="23"/>
      <c r="L18" s="3" t="s">
        <v>37</v>
      </c>
      <c r="M18" s="21" t="s">
        <v>139</v>
      </c>
      <c r="N18" s="28"/>
    </row>
    <row r="19" spans="5:14" x14ac:dyDescent="0.25">
      <c r="E19" s="4"/>
      <c r="F19" s="25" t="str">
        <f>IFERROR(VLOOKUP(E19,PRODUCTOS!$A$2:$C$21,2,0),"")</f>
        <v/>
      </c>
      <c r="G19" s="26"/>
      <c r="H19" s="26"/>
      <c r="I19" s="27"/>
      <c r="J19" s="25">
        <v>1</v>
      </c>
      <c r="K19" s="25"/>
      <c r="L19" s="19">
        <f>IFERROR(VLOOKUP(E19,PRODUCTOS!$A$2:$C$21,3,0),0)</f>
        <v>0</v>
      </c>
      <c r="M19" s="29">
        <f>J19*L19</f>
        <v>0</v>
      </c>
      <c r="N19" s="30"/>
    </row>
    <row r="20" spans="5:14" x14ac:dyDescent="0.25">
      <c r="E20" s="4"/>
      <c r="F20" s="25" t="str">
        <f>IFERROR(VLOOKUP(E20,PRODUCTOS!$A$2:$C$21,2,0),"")</f>
        <v/>
      </c>
      <c r="G20" s="26"/>
      <c r="H20" s="26"/>
      <c r="I20" s="27"/>
      <c r="J20" s="25">
        <v>2</v>
      </c>
      <c r="K20" s="25"/>
      <c r="L20" s="19">
        <f>IFERROR(VLOOKUP(E20,PRODUCTOS!$A$2:$C$21,3,0),0)</f>
        <v>0</v>
      </c>
      <c r="M20" s="29">
        <f t="shared" ref="M20:M26" si="0">IFERROR(J20*L20,0)</f>
        <v>0</v>
      </c>
      <c r="N20" s="30"/>
    </row>
    <row r="21" spans="5:14" x14ac:dyDescent="0.25">
      <c r="E21" s="4"/>
      <c r="F21" s="25" t="str">
        <f>IFERROR(VLOOKUP(E21,PRODUCTOS!$A$2:$C$21,2,0),"")</f>
        <v/>
      </c>
      <c r="G21" s="26"/>
      <c r="H21" s="26"/>
      <c r="I21" s="27"/>
      <c r="J21" s="25">
        <v>3</v>
      </c>
      <c r="K21" s="25"/>
      <c r="L21" s="19">
        <f>IFERROR(VLOOKUP(E21,PRODUCTOS!$A$2:$C$21,3,0),0)</f>
        <v>0</v>
      </c>
      <c r="M21" s="29">
        <f t="shared" si="0"/>
        <v>0</v>
      </c>
      <c r="N21" s="30"/>
    </row>
    <row r="22" spans="5:14" x14ac:dyDescent="0.25">
      <c r="E22" s="4"/>
      <c r="F22" s="25" t="str">
        <f>IFERROR(VLOOKUP(E22,PRODUCTOS!$A$2:$C$21,2,0),"")</f>
        <v/>
      </c>
      <c r="G22" s="26"/>
      <c r="H22" s="26"/>
      <c r="I22" s="27"/>
      <c r="J22" s="25">
        <v>4</v>
      </c>
      <c r="K22" s="25"/>
      <c r="L22" s="19">
        <f>IFERROR(VLOOKUP(E22,PRODUCTOS!$A$2:$C$21,3,0),0)</f>
        <v>0</v>
      </c>
      <c r="M22" s="29">
        <f t="shared" si="0"/>
        <v>0</v>
      </c>
      <c r="N22" s="30"/>
    </row>
    <row r="23" spans="5:14" x14ac:dyDescent="0.25">
      <c r="E23" s="4"/>
      <c r="F23" s="25" t="str">
        <f>IFERROR(VLOOKUP(E23,PRODUCTOS!$A$2:$C$21,2,0),"")</f>
        <v/>
      </c>
      <c r="G23" s="26"/>
      <c r="H23" s="26"/>
      <c r="I23" s="27"/>
      <c r="J23" s="25">
        <v>5</v>
      </c>
      <c r="K23" s="25"/>
      <c r="L23" s="19">
        <f>IFERROR(VLOOKUP(E23,PRODUCTOS!$A$2:$C$21,3,0),0)</f>
        <v>0</v>
      </c>
      <c r="M23" s="29">
        <f t="shared" si="0"/>
        <v>0</v>
      </c>
      <c r="N23" s="30"/>
    </row>
    <row r="24" spans="5:14" x14ac:dyDescent="0.25">
      <c r="E24" s="4"/>
      <c r="F24" s="25" t="str">
        <f>IFERROR(VLOOKUP(E24,PRODUCTOS!$A$2:$C$21,2,0),"")</f>
        <v/>
      </c>
      <c r="G24" s="26"/>
      <c r="H24" s="26"/>
      <c r="I24" s="27"/>
      <c r="J24" s="25">
        <v>6</v>
      </c>
      <c r="K24" s="25"/>
      <c r="L24" s="19">
        <f>IFERROR(VLOOKUP(E24,PRODUCTOS!$A$2:$C$21,3,0),0)</f>
        <v>0</v>
      </c>
      <c r="M24" s="29">
        <f t="shared" si="0"/>
        <v>0</v>
      </c>
      <c r="N24" s="30"/>
    </row>
    <row r="25" spans="5:14" x14ac:dyDescent="0.25">
      <c r="E25" s="4"/>
      <c r="F25" s="25" t="str">
        <f>IFERROR(VLOOKUP(E25,PRODUCTOS!$A$2:$C$21,2,0),"")</f>
        <v/>
      </c>
      <c r="G25" s="26"/>
      <c r="H25" s="26"/>
      <c r="I25" s="27"/>
      <c r="J25" s="25">
        <v>7</v>
      </c>
      <c r="K25" s="25"/>
      <c r="L25" s="19">
        <f>IFERROR(VLOOKUP(E25,PRODUCTOS!$A$2:$C$21,3,0),0)</f>
        <v>0</v>
      </c>
      <c r="M25" s="29">
        <f t="shared" si="0"/>
        <v>0</v>
      </c>
      <c r="N25" s="30"/>
    </row>
    <row r="26" spans="5:14" x14ac:dyDescent="0.25">
      <c r="E26" s="4"/>
      <c r="F26" s="25" t="str">
        <f>IFERROR(VLOOKUP(E26,PRODUCTOS!$A$2:$C$21,2,0),"")</f>
        <v/>
      </c>
      <c r="G26" s="26"/>
      <c r="H26" s="26"/>
      <c r="I26" s="27"/>
      <c r="J26" s="25">
        <v>8</v>
      </c>
      <c r="K26" s="31"/>
      <c r="L26" s="19">
        <f>IFERROR(VLOOKUP(E26,PRODUCTOS!$A$2:$C$21,3,0),0)</f>
        <v>0</v>
      </c>
      <c r="M26" s="29">
        <f t="shared" si="0"/>
        <v>0</v>
      </c>
      <c r="N26" s="30"/>
    </row>
    <row r="27" spans="5:14" x14ac:dyDescent="0.25">
      <c r="L27" s="2" t="s">
        <v>140</v>
      </c>
      <c r="M27" s="32">
        <f>SUM(M19:N26)</f>
        <v>0</v>
      </c>
      <c r="N27" s="33"/>
    </row>
    <row r="28" spans="5:14" x14ac:dyDescent="0.25">
      <c r="L28" s="2" t="s">
        <v>141</v>
      </c>
      <c r="M28" s="32">
        <f>M27*19%</f>
        <v>0</v>
      </c>
      <c r="N28" s="33"/>
    </row>
    <row r="29" spans="5:14" x14ac:dyDescent="0.25">
      <c r="L29" s="2" t="s">
        <v>142</v>
      </c>
      <c r="M29" s="32">
        <f>SUM(M27:N28)</f>
        <v>0</v>
      </c>
      <c r="N29" s="33"/>
    </row>
  </sheetData>
  <mergeCells count="45">
    <mergeCell ref="M25:N25"/>
    <mergeCell ref="M26:N26"/>
    <mergeCell ref="M27:N27"/>
    <mergeCell ref="M28:N28"/>
    <mergeCell ref="M29:N29"/>
    <mergeCell ref="J26:K26"/>
    <mergeCell ref="F25:I25"/>
    <mergeCell ref="F26:I26"/>
    <mergeCell ref="J18:K18"/>
    <mergeCell ref="J19:K19"/>
    <mergeCell ref="J20:K20"/>
    <mergeCell ref="J21:K21"/>
    <mergeCell ref="J22:K22"/>
    <mergeCell ref="J23:K23"/>
    <mergeCell ref="J24:K24"/>
    <mergeCell ref="J25:K25"/>
    <mergeCell ref="F19:I19"/>
    <mergeCell ref="F20:I20"/>
    <mergeCell ref="F21:I21"/>
    <mergeCell ref="F22:I22"/>
    <mergeCell ref="F23:I23"/>
    <mergeCell ref="F24:I24"/>
    <mergeCell ref="F13:I13"/>
    <mergeCell ref="F14:I14"/>
    <mergeCell ref="K13:N13"/>
    <mergeCell ref="K14:N14"/>
    <mergeCell ref="E15:N17"/>
    <mergeCell ref="F18:I18"/>
    <mergeCell ref="M18:N18"/>
    <mergeCell ref="M24:N24"/>
    <mergeCell ref="M19:N19"/>
    <mergeCell ref="M20:N20"/>
    <mergeCell ref="M21:N21"/>
    <mergeCell ref="M22:N22"/>
    <mergeCell ref="M23:N23"/>
    <mergeCell ref="E6:F6"/>
    <mergeCell ref="E7:F7"/>
    <mergeCell ref="G6:K6"/>
    <mergeCell ref="G7:K7"/>
    <mergeCell ref="M9:N9"/>
    <mergeCell ref="E10:N12"/>
    <mergeCell ref="E8:F8"/>
    <mergeCell ref="E9:F9"/>
    <mergeCell ref="G8:K8"/>
    <mergeCell ref="G9:K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CLIENTES</vt:lpstr>
      <vt:lpstr>EMPLEADOS</vt:lpstr>
      <vt:lpstr>PRODUCTOS</vt:lpstr>
      <vt:lpstr>FACTURACION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SENA</cp:lastModifiedBy>
  <dcterms:created xsi:type="dcterms:W3CDTF">2026-04-30T01:22:04Z</dcterms:created>
  <dcterms:modified xsi:type="dcterms:W3CDTF">2026-05-14T02:03:27Z</dcterms:modified>
</cp:coreProperties>
</file>